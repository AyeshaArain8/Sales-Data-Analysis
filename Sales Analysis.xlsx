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esha Shahid\Desktop\"/>
    </mc:Choice>
  </mc:AlternateContent>
  <bookViews>
    <workbookView xWindow="0" yWindow="0" windowWidth="19200" windowHeight="6930"/>
  </bookViews>
  <sheets>
    <sheet name="Sheet2" sheetId="3" r:id="rId1"/>
    <sheet name="Sheet1" sheetId="1" r:id="rId2"/>
  </sheets>
  <calcPr calcId="162913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1" i="1" l="1"/>
  <c r="G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H24" i="1" s="1"/>
  <c r="G25" i="1"/>
  <c r="H25" i="1" s="1"/>
  <c r="G26" i="1"/>
  <c r="H26" i="1" s="1"/>
  <c r="G27" i="1"/>
  <c r="G28" i="1"/>
  <c r="G29" i="1"/>
  <c r="G30" i="1"/>
  <c r="G31" i="1"/>
  <c r="G32" i="1"/>
  <c r="G33" i="1"/>
  <c r="G34" i="1"/>
  <c r="G35" i="1"/>
  <c r="G36" i="1"/>
  <c r="H36" i="1" s="1"/>
  <c r="G37" i="1"/>
  <c r="H37" i="1" s="1"/>
  <c r="G38" i="1"/>
  <c r="H38" i="1" s="1"/>
  <c r="G39" i="1"/>
  <c r="G40" i="1"/>
  <c r="G41" i="1"/>
  <c r="G42" i="1"/>
  <c r="G43" i="1"/>
  <c r="G44" i="1"/>
  <c r="G45" i="1"/>
  <c r="G46" i="1"/>
  <c r="G47" i="1"/>
  <c r="G48" i="1"/>
  <c r="H48" i="1" s="1"/>
  <c r="G49" i="1"/>
  <c r="H49" i="1" s="1"/>
  <c r="G50" i="1"/>
  <c r="H50" i="1" s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H72" i="1" s="1"/>
  <c r="G73" i="1"/>
  <c r="H73" i="1" s="1"/>
  <c r="G74" i="1"/>
  <c r="H74" i="1" s="1"/>
  <c r="G75" i="1"/>
  <c r="G76" i="1"/>
  <c r="G77" i="1"/>
  <c r="G78" i="1"/>
  <c r="G79" i="1"/>
  <c r="G80" i="1"/>
  <c r="G81" i="1"/>
  <c r="G82" i="1"/>
  <c r="G83" i="1"/>
  <c r="G84" i="1"/>
  <c r="H84" i="1" s="1"/>
  <c r="G85" i="1"/>
  <c r="H85" i="1" s="1"/>
  <c r="G86" i="1"/>
  <c r="H86" i="1" s="1"/>
  <c r="G87" i="1"/>
  <c r="G88" i="1"/>
  <c r="G89" i="1"/>
  <c r="G90" i="1"/>
  <c r="G91" i="1"/>
  <c r="G92" i="1"/>
  <c r="G93" i="1"/>
  <c r="G94" i="1"/>
  <c r="G95" i="1"/>
  <c r="G96" i="1"/>
  <c r="H96" i="1" s="1"/>
  <c r="G97" i="1"/>
  <c r="H97" i="1" s="1"/>
  <c r="G98" i="1"/>
  <c r="H98" i="1" s="1"/>
  <c r="G99" i="1"/>
  <c r="G100" i="1"/>
  <c r="G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F10" i="1"/>
  <c r="F11" i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F22" i="1"/>
  <c r="F23" i="1"/>
  <c r="F24" i="1"/>
  <c r="F25" i="1"/>
  <c r="F26" i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F34" i="1"/>
  <c r="F35" i="1"/>
  <c r="F36" i="1"/>
  <c r="F37" i="1"/>
  <c r="F38" i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F46" i="1"/>
  <c r="F47" i="1"/>
  <c r="F48" i="1"/>
  <c r="F49" i="1"/>
  <c r="F50" i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F58" i="1"/>
  <c r="F59" i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F70" i="1"/>
  <c r="F71" i="1"/>
  <c r="F72" i="1"/>
  <c r="F73" i="1"/>
  <c r="F74" i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F82" i="1"/>
  <c r="F83" i="1"/>
  <c r="F84" i="1"/>
  <c r="F85" i="1"/>
  <c r="F86" i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F94" i="1"/>
  <c r="F95" i="1"/>
  <c r="F96" i="1"/>
  <c r="F97" i="1"/>
  <c r="F98" i="1"/>
  <c r="F99" i="1"/>
  <c r="H99" i="1" s="1"/>
  <c r="F100" i="1"/>
  <c r="H100" i="1" s="1"/>
  <c r="F2" i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2" i="1"/>
  <c r="H101" i="1" l="1"/>
  <c r="H70" i="1"/>
  <c r="H58" i="1"/>
  <c r="H34" i="1"/>
  <c r="H10" i="1"/>
  <c r="H81" i="1"/>
  <c r="H45" i="1"/>
  <c r="H21" i="1"/>
  <c r="H95" i="1"/>
  <c r="H83" i="1"/>
  <c r="H71" i="1"/>
  <c r="H59" i="1"/>
  <c r="H47" i="1"/>
  <c r="H35" i="1"/>
  <c r="H23" i="1"/>
  <c r="H11" i="1"/>
  <c r="H94" i="1"/>
  <c r="H82" i="1"/>
  <c r="H46" i="1"/>
  <c r="H22" i="1"/>
  <c r="H93" i="1"/>
  <c r="H69" i="1"/>
  <c r="H57" i="1"/>
  <c r="H33" i="1"/>
  <c r="H9" i="1"/>
</calcChain>
</file>

<file path=xl/sharedStrings.xml><?xml version="1.0" encoding="utf-8"?>
<sst xmlns="http://schemas.openxmlformats.org/spreadsheetml/2006/main" count="316" uniqueCount="109">
  <si>
    <t>Order_ID</t>
  </si>
  <si>
    <t>Date</t>
  </si>
  <si>
    <t>Region</t>
  </si>
  <si>
    <t>Product</t>
  </si>
  <si>
    <t>Category</t>
  </si>
  <si>
    <t>Quantity</t>
  </si>
  <si>
    <t>Sales</t>
  </si>
  <si>
    <t>Karachi</t>
  </si>
  <si>
    <t>Laptop</t>
  </si>
  <si>
    <t>Electronics</t>
  </si>
  <si>
    <t>Lahore</t>
  </si>
  <si>
    <t>Mouse</t>
  </si>
  <si>
    <t>Accessories</t>
  </si>
  <si>
    <t>Islamabad</t>
  </si>
  <si>
    <t>Keyboard</t>
  </si>
  <si>
    <t>Monitor</t>
  </si>
  <si>
    <t>Printer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</si>
  <si>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</si>
  <si>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</si>
  <si>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</si>
  <si>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</si>
  <si>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</si>
  <si>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</si>
  <si>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</si>
  <si>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</si>
  <si>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20-01-2027</t>
  </si>
  <si>
    <t>20-01-2028</t>
  </si>
  <si>
    <t>20-01-2029</t>
  </si>
  <si>
    <t>20-01-2030</t>
  </si>
  <si>
    <t>20-01-2031</t>
  </si>
  <si>
    <t>20-01-2032</t>
  </si>
  <si>
    <t>20-01-2033</t>
  </si>
  <si>
    <t>20-01-2034</t>
  </si>
  <si>
    <t>20-01-2035</t>
  </si>
  <si>
    <t>20-01-2036</t>
  </si>
  <si>
    <t>20-01-2037</t>
  </si>
  <si>
    <t>20-01-2038</t>
  </si>
  <si>
    <t>20-01-2039</t>
  </si>
  <si>
    <t>20-01-2040</t>
  </si>
  <si>
    <t>20-01-2041</t>
  </si>
  <si>
    <t>20-01-2042</t>
  </si>
  <si>
    <t>20-01-2043</t>
  </si>
  <si>
    <t>20-01-2044</t>
  </si>
  <si>
    <t>20-01-2045</t>
  </si>
  <si>
    <t>20-01-2046</t>
  </si>
  <si>
    <t>20-01-2047</t>
  </si>
  <si>
    <t>20-01-2048</t>
  </si>
  <si>
    <t>20-01-2049</t>
  </si>
  <si>
    <t>20-01-2050</t>
  </si>
  <si>
    <t>20-01-2051</t>
  </si>
  <si>
    <t>20-01-2052</t>
  </si>
  <si>
    <t>20-01-2053</t>
  </si>
  <si>
    <t>20-01-2054</t>
  </si>
  <si>
    <t>20-01-2055</t>
  </si>
  <si>
    <t>20-01-2056</t>
  </si>
  <si>
    <t>20-01-2057</t>
  </si>
  <si>
    <t>20-01-2058</t>
  </si>
  <si>
    <t>20-01-2059</t>
  </si>
  <si>
    <t>20-01-2060</t>
  </si>
  <si>
    <t>20-01-2061</t>
  </si>
  <si>
    <t>20-01-2062</t>
  </si>
  <si>
    <t>20-01-2063</t>
  </si>
  <si>
    <t>20-01-2064</t>
  </si>
  <si>
    <t>20-01-2065</t>
  </si>
  <si>
    <t>20-01-2066</t>
  </si>
  <si>
    <t>20-01-2067</t>
  </si>
  <si>
    <t>20-01-2068</t>
  </si>
  <si>
    <t>20-01-2069</t>
  </si>
  <si>
    <t>20-01-2070</t>
  </si>
  <si>
    <t>20-01-2071</t>
  </si>
  <si>
    <t>20-01-2072</t>
  </si>
  <si>
    <t>20-01-2073</t>
  </si>
  <si>
    <t>20-01-2074</t>
  </si>
  <si>
    <t>20-01-2075</t>
  </si>
  <si>
    <t>20-01-2076</t>
  </si>
  <si>
    <t>20-01-2077</t>
  </si>
  <si>
    <t>20-01-2078</t>
  </si>
  <si>
    <t>20-01-2079</t>
  </si>
  <si>
    <t>20-01-2080</t>
  </si>
  <si>
    <t>20-01-2081</t>
  </si>
  <si>
    <t>20-01-2082</t>
  </si>
  <si>
    <t>20-01-2083</t>
  </si>
  <si>
    <t>20-01-2084</t>
  </si>
  <si>
    <t>20-01-2085</t>
  </si>
  <si>
    <t>20-01-2086</t>
  </si>
  <si>
    <t>20-01-2087</t>
  </si>
  <si>
    <t>20-01-2088</t>
  </si>
  <si>
    <t>20-01-2089</t>
  </si>
  <si>
    <t>20-01-2090</t>
  </si>
  <si>
    <t>20-01-2091</t>
  </si>
  <si>
    <t>20-01-2092</t>
  </si>
  <si>
    <t>20-01-2093</t>
  </si>
  <si>
    <t>20-01-2094</t>
  </si>
  <si>
    <t>20-01-2095</t>
  </si>
  <si>
    <t>20-01-2096</t>
  </si>
  <si>
    <t>20-01-2097</t>
  </si>
  <si>
    <t>20-01-2098</t>
  </si>
  <si>
    <t>20-01-2099</t>
  </si>
  <si>
    <t>20-01-2100</t>
  </si>
  <si>
    <t>20-01-2101</t>
  </si>
  <si>
    <t>20-01-2102</t>
  </si>
  <si>
    <t>20-01-2103</t>
  </si>
  <si>
    <t>20-01-2104</t>
  </si>
  <si>
    <t>20-01-2105</t>
  </si>
  <si>
    <t>Unit_price</t>
  </si>
  <si>
    <t>Row Labels</t>
  </si>
  <si>
    <t>Grand Total</t>
  </si>
  <si>
    <t>Sum of Sales</t>
  </si>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</sst>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2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Sales Analysis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Sheet2!$A$6:$A$11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Sheet2!$B$6:$B$11</c:f>
              <c:numCache>
                <c:formatCode>General</c:formatCode>
                <c:ptCount val="5"/>
                <c:pt idx="0">
                  <c:v>150000</c:v>
                </c:pt>
                <c:pt idx="1">
                  <c:v>4000000</c:v>
                </c:pt>
                <c:pt idx="2">
                  <c:v>2250000</c:v>
                </c:pt>
                <c:pt idx="3">
                  <c:v>195000</c:v>
                </c:pt>
                <c:pt idx="4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F-40FD-A487-480F1ABBB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420496"/>
        <c:axId val="449420168"/>
      </c:barChart>
      <c:catAx>
        <c:axId val="4494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20168"/>
        <c:crosses val="autoZero"/>
        <c:auto val="1"/>
        <c:lblAlgn val="ctr"/>
        <c:lblOffset val="100"/>
        <c:noMultiLvlLbl val="0"/>
      </c:catAx>
      <c:valAx>
        <c:axId val="44942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n-lt"/>
              </a:rPr>
              <a:t>Sales by Region and Category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Sheet2!$A$23:$B$29</c:f>
              <c:multiLvlStrCache>
                <c:ptCount val="6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Accessories</c:v>
                  </c:pt>
                  <c:pt idx="3">
                    <c:v>Electronics</c:v>
                  </c:pt>
                  <c:pt idx="4">
                    <c:v>Accessories</c:v>
                  </c:pt>
                  <c:pt idx="5">
                    <c:v>Electronics</c:v>
                  </c:pt>
                </c:lvl>
                <c:lvl>
                  <c:pt idx="0">
                    <c:v>Islamabad</c:v>
                  </c:pt>
                  <c:pt idx="2">
                    <c:v>Karachi</c:v>
                  </c:pt>
                  <c:pt idx="4">
                    <c:v>Lahore</c:v>
                  </c:pt>
                </c:lvl>
              </c:multiLvlStrCache>
            </c:multiLvlStrRef>
          </c:cat>
          <c:val>
            <c:numRef>
              <c:f>Sheet2!$C$23:$C$29</c:f>
              <c:numCache>
                <c:formatCode>General</c:formatCode>
                <c:ptCount val="6"/>
                <c:pt idx="0">
                  <c:v>112500</c:v>
                </c:pt>
                <c:pt idx="1">
                  <c:v>2720000</c:v>
                </c:pt>
                <c:pt idx="2">
                  <c:v>115500</c:v>
                </c:pt>
                <c:pt idx="3">
                  <c:v>2495000</c:v>
                </c:pt>
                <c:pt idx="4">
                  <c:v>117000</c:v>
                </c:pt>
                <c:pt idx="5">
                  <c:v>2330000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D-4D50-A11C-FCE816B4C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298904"/>
        <c:axId val="450302512"/>
      </c:barChart>
      <c:catAx>
        <c:axId val="45029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02512"/>
        <c:crosses val="autoZero"/>
        <c:auto val="1"/>
        <c:lblAlgn val="ctr"/>
        <c:lblOffset val="100"/>
        <c:noMultiLvlLbl val="0"/>
      </c:catAx>
      <c:valAx>
        <c:axId val="4503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9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171451</xdr:rowOff>
    </xdr:from>
    <xdr:to>
      <xdr:col>11</xdr:col>
      <xdr:colOff>222250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21</xdr:row>
      <xdr:rowOff>3175</xdr:rowOff>
    </xdr:from>
    <xdr:to>
      <xdr:col>11</xdr:col>
      <xdr:colOff>314325</xdr:colOff>
      <xdr:row>35</xdr:row>
      <xdr:rowOff>168275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yesha Shahid" refreshedDate="46192.972250694445" createdVersion="6" refreshedVersion="6" minRefreshableVersion="3" recordCount="100">
  <cacheSource type="worksheet">
    <worksheetSource name="Table1"/>
  </cacheSource>
  <cacheFields count="8">
    <cacheField name="Order_ID" numFmtId="0">
      <sharedItems containsString="0" containsBlank="1" containsNumber="1" containsInteger="1" minValue="1001" maxValue="1020"/>
    </cacheField>
    <cacheField name="Date" numFmtId="0">
      <sharedItems containsDate="1" containsBlank="1" containsMixedTypes="1" minDate="2026-01-01T00:00:00" maxDate="2026-12-02T00:00:00"/>
    </cacheField>
    <cacheField name="Region" numFmtId="0">
      <sharedItems containsBlank="1" count="4">
        <s v="Karachi"/>
        <s v="Lahore"/>
        <s v="Islamabad"/>
        <m/>
      </sharedItems>
    </cacheField>
    <cacheField name="Product" numFmtId="0">
      <sharedItems count="5">
        <s v="Laptop"/>
        <s v="Mouse"/>
        <s v="Keyboard"/>
        <s v="Monitor"/>
        <s v="Printer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1500" maxValue="50000"/>
    </cacheField>
    <cacheField name="Sales" numFmtId="0">
      <sharedItems containsSemiMixedTypes="0" containsString="0" containsNumber="1" containsInteger="1" minValue="60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001"/>
    <d v="2026-01-01T00:00:00"/>
    <x v="0"/>
    <x v="0"/>
    <x v="0"/>
    <n v="2"/>
    <n v="50000"/>
    <n v="100000"/>
  </r>
  <r>
    <n v="1002"/>
    <d v="2026-02-01T00:00:00"/>
    <x v="1"/>
    <x v="1"/>
    <x v="1"/>
    <n v="5"/>
    <n v="1500"/>
    <n v="7500"/>
  </r>
  <r>
    <n v="1003"/>
    <d v="2026-03-01T00:00:00"/>
    <x v="2"/>
    <x v="2"/>
    <x v="1"/>
    <n v="3"/>
    <n v="3000"/>
    <n v="9000"/>
  </r>
  <r>
    <n v="1004"/>
    <d v="2026-04-01T00:00:00"/>
    <x v="0"/>
    <x v="3"/>
    <x v="0"/>
    <n v="4"/>
    <n v="25000"/>
    <n v="100000"/>
  </r>
  <r>
    <n v="1005"/>
    <d v="2026-05-01T00:00:00"/>
    <x v="1"/>
    <x v="4"/>
    <x v="0"/>
    <n v="1"/>
    <n v="35000"/>
    <n v="35000"/>
  </r>
  <r>
    <n v="1006"/>
    <d v="2026-06-01T00:00:00"/>
    <x v="2"/>
    <x v="0"/>
    <x v="0"/>
    <n v="6"/>
    <n v="50000"/>
    <n v="300000"/>
  </r>
  <r>
    <n v="1007"/>
    <d v="2026-07-01T00:00:00"/>
    <x v="0"/>
    <x v="1"/>
    <x v="1"/>
    <n v="8"/>
    <n v="1500"/>
    <n v="12000"/>
  </r>
  <r>
    <n v="1008"/>
    <d v="2026-08-01T00:00:00"/>
    <x v="1"/>
    <x v="2"/>
    <x v="1"/>
    <n v="2"/>
    <n v="3000"/>
    <n v="6000"/>
  </r>
  <r>
    <n v="1009"/>
    <d v="2026-09-01T00:00:00"/>
    <x v="2"/>
    <x v="3"/>
    <x v="0"/>
    <n v="5"/>
    <n v="25000"/>
    <n v="125000"/>
  </r>
  <r>
    <n v="1010"/>
    <d v="2026-10-01T00:00:00"/>
    <x v="0"/>
    <x v="4"/>
    <x v="0"/>
    <n v="3"/>
    <n v="35000"/>
    <n v="105000"/>
  </r>
  <r>
    <n v="1011"/>
    <d v="2026-11-01T00:00:00"/>
    <x v="1"/>
    <x v="0"/>
    <x v="0"/>
    <n v="2"/>
    <n v="50000"/>
    <n v="100000"/>
  </r>
  <r>
    <n v="1012"/>
    <d v="2026-12-01T00:00:00"/>
    <x v="2"/>
    <x v="1"/>
    <x v="1"/>
    <n v="5"/>
    <n v="1500"/>
    <n v="7500"/>
  </r>
  <r>
    <n v="1013"/>
    <s v="13-01-2026"/>
    <x v="0"/>
    <x v="2"/>
    <x v="1"/>
    <n v="3"/>
    <n v="3000"/>
    <n v="9000"/>
  </r>
  <r>
    <n v="1014"/>
    <s v="14-01-2026"/>
    <x v="1"/>
    <x v="3"/>
    <x v="0"/>
    <n v="4"/>
    <n v="25000"/>
    <n v="100000"/>
  </r>
  <r>
    <n v="1015"/>
    <s v="15-01-2026"/>
    <x v="2"/>
    <x v="4"/>
    <x v="0"/>
    <n v="1"/>
    <n v="35000"/>
    <n v="35000"/>
  </r>
  <r>
    <n v="1016"/>
    <s v="16-01-2026"/>
    <x v="0"/>
    <x v="0"/>
    <x v="0"/>
    <n v="6"/>
    <n v="50000"/>
    <n v="300000"/>
  </r>
  <r>
    <n v="1017"/>
    <s v="17-01-2026"/>
    <x v="1"/>
    <x v="1"/>
    <x v="1"/>
    <n v="8"/>
    <n v="1500"/>
    <n v="12000"/>
  </r>
  <r>
    <n v="1018"/>
    <s v="18-01-2026"/>
    <x v="2"/>
    <x v="2"/>
    <x v="1"/>
    <n v="2"/>
    <n v="3000"/>
    <n v="6000"/>
  </r>
  <r>
    <n v="1019"/>
    <s v="19-01-2026"/>
    <x v="0"/>
    <x v="3"/>
    <x v="0"/>
    <n v="5"/>
    <n v="25000"/>
    <n v="125000"/>
  </r>
  <r>
    <n v="1020"/>
    <s v="20-01-2026"/>
    <x v="1"/>
    <x v="4"/>
    <x v="0"/>
    <n v="3"/>
    <n v="35000"/>
    <n v="105000"/>
  </r>
  <r>
    <n v="1020"/>
    <s v="20-01-2027"/>
    <x v="2"/>
    <x v="0"/>
    <x v="0"/>
    <n v="2"/>
    <n v="50000"/>
    <n v="100000"/>
  </r>
  <r>
    <n v="1020"/>
    <s v="20-01-2028"/>
    <x v="0"/>
    <x v="1"/>
    <x v="1"/>
    <n v="5"/>
    <n v="1500"/>
    <n v="7500"/>
  </r>
  <r>
    <n v="1020"/>
    <s v="20-01-2029"/>
    <x v="1"/>
    <x v="2"/>
    <x v="1"/>
    <n v="3"/>
    <n v="3000"/>
    <n v="9000"/>
  </r>
  <r>
    <n v="1020"/>
    <s v="20-01-2030"/>
    <x v="2"/>
    <x v="3"/>
    <x v="0"/>
    <n v="4"/>
    <n v="25000"/>
    <n v="100000"/>
  </r>
  <r>
    <n v="1020"/>
    <s v="20-01-2031"/>
    <x v="0"/>
    <x v="4"/>
    <x v="0"/>
    <n v="1"/>
    <n v="35000"/>
    <n v="35000"/>
  </r>
  <r>
    <n v="1020"/>
    <s v="20-01-2032"/>
    <x v="1"/>
    <x v="0"/>
    <x v="0"/>
    <n v="6"/>
    <n v="50000"/>
    <n v="300000"/>
  </r>
  <r>
    <n v="1020"/>
    <s v="20-01-2033"/>
    <x v="2"/>
    <x v="1"/>
    <x v="1"/>
    <n v="8"/>
    <n v="1500"/>
    <n v="12000"/>
  </r>
  <r>
    <n v="1020"/>
    <s v="20-01-2034"/>
    <x v="0"/>
    <x v="2"/>
    <x v="1"/>
    <n v="2"/>
    <n v="3000"/>
    <n v="6000"/>
  </r>
  <r>
    <n v="1020"/>
    <s v="20-01-2035"/>
    <x v="1"/>
    <x v="3"/>
    <x v="0"/>
    <n v="5"/>
    <n v="25000"/>
    <n v="125000"/>
  </r>
  <r>
    <n v="1020"/>
    <s v="20-01-2036"/>
    <x v="2"/>
    <x v="4"/>
    <x v="0"/>
    <n v="3"/>
    <n v="35000"/>
    <n v="105000"/>
  </r>
  <r>
    <n v="1020"/>
    <s v="20-01-2037"/>
    <x v="0"/>
    <x v="0"/>
    <x v="0"/>
    <n v="2"/>
    <n v="50000"/>
    <n v="100000"/>
  </r>
  <r>
    <n v="1020"/>
    <s v="20-01-2038"/>
    <x v="1"/>
    <x v="1"/>
    <x v="1"/>
    <n v="5"/>
    <n v="1500"/>
    <n v="7500"/>
  </r>
  <r>
    <n v="1020"/>
    <s v="20-01-2039"/>
    <x v="2"/>
    <x v="2"/>
    <x v="1"/>
    <n v="3"/>
    <n v="3000"/>
    <n v="9000"/>
  </r>
  <r>
    <n v="1020"/>
    <s v="20-01-2040"/>
    <x v="0"/>
    <x v="3"/>
    <x v="0"/>
    <n v="4"/>
    <n v="25000"/>
    <n v="100000"/>
  </r>
  <r>
    <n v="1020"/>
    <s v="20-01-2041"/>
    <x v="1"/>
    <x v="4"/>
    <x v="0"/>
    <n v="1"/>
    <n v="35000"/>
    <n v="35000"/>
  </r>
  <r>
    <n v="1020"/>
    <s v="20-01-2042"/>
    <x v="2"/>
    <x v="0"/>
    <x v="0"/>
    <n v="6"/>
    <n v="50000"/>
    <n v="300000"/>
  </r>
  <r>
    <n v="1020"/>
    <s v="20-01-2043"/>
    <x v="0"/>
    <x v="1"/>
    <x v="1"/>
    <n v="8"/>
    <n v="1500"/>
    <n v="12000"/>
  </r>
  <r>
    <n v="1020"/>
    <s v="20-01-2044"/>
    <x v="1"/>
    <x v="2"/>
    <x v="1"/>
    <n v="2"/>
    <n v="3000"/>
    <n v="6000"/>
  </r>
  <r>
    <n v="1020"/>
    <s v="20-01-2045"/>
    <x v="2"/>
    <x v="3"/>
    <x v="0"/>
    <n v="5"/>
    <n v="25000"/>
    <n v="125000"/>
  </r>
  <r>
    <n v="1020"/>
    <s v="20-01-2046"/>
    <x v="0"/>
    <x v="4"/>
    <x v="0"/>
    <n v="3"/>
    <n v="35000"/>
    <n v="105000"/>
  </r>
  <r>
    <n v="1020"/>
    <s v="20-01-2047"/>
    <x v="1"/>
    <x v="0"/>
    <x v="0"/>
    <n v="2"/>
    <n v="50000"/>
    <n v="100000"/>
  </r>
  <r>
    <n v="1020"/>
    <s v="20-01-2048"/>
    <x v="2"/>
    <x v="1"/>
    <x v="1"/>
    <n v="5"/>
    <n v="1500"/>
    <n v="7500"/>
  </r>
  <r>
    <n v="1020"/>
    <s v="20-01-2049"/>
    <x v="0"/>
    <x v="2"/>
    <x v="1"/>
    <n v="3"/>
    <n v="3000"/>
    <n v="9000"/>
  </r>
  <r>
    <n v="1020"/>
    <s v="20-01-2050"/>
    <x v="1"/>
    <x v="3"/>
    <x v="0"/>
    <n v="4"/>
    <n v="25000"/>
    <n v="100000"/>
  </r>
  <r>
    <n v="1020"/>
    <s v="20-01-2051"/>
    <x v="2"/>
    <x v="4"/>
    <x v="0"/>
    <n v="1"/>
    <n v="35000"/>
    <n v="35000"/>
  </r>
  <r>
    <n v="1020"/>
    <s v="20-01-2052"/>
    <x v="0"/>
    <x v="0"/>
    <x v="0"/>
    <n v="6"/>
    <n v="50000"/>
    <n v="300000"/>
  </r>
  <r>
    <n v="1020"/>
    <s v="20-01-2053"/>
    <x v="1"/>
    <x v="1"/>
    <x v="1"/>
    <n v="8"/>
    <n v="1500"/>
    <n v="12000"/>
  </r>
  <r>
    <n v="1020"/>
    <s v="20-01-2054"/>
    <x v="2"/>
    <x v="2"/>
    <x v="1"/>
    <n v="2"/>
    <n v="3000"/>
    <n v="6000"/>
  </r>
  <r>
    <n v="1020"/>
    <s v="20-01-2055"/>
    <x v="0"/>
    <x v="3"/>
    <x v="0"/>
    <n v="5"/>
    <n v="25000"/>
    <n v="125000"/>
  </r>
  <r>
    <n v="1020"/>
    <s v="20-01-2056"/>
    <x v="1"/>
    <x v="4"/>
    <x v="0"/>
    <n v="3"/>
    <n v="35000"/>
    <n v="105000"/>
  </r>
  <r>
    <n v="1020"/>
    <s v="20-01-2057"/>
    <x v="2"/>
    <x v="0"/>
    <x v="0"/>
    <n v="2"/>
    <n v="50000"/>
    <n v="100000"/>
  </r>
  <r>
    <n v="1020"/>
    <s v="20-01-2058"/>
    <x v="0"/>
    <x v="1"/>
    <x v="1"/>
    <n v="5"/>
    <n v="1500"/>
    <n v="7500"/>
  </r>
  <r>
    <n v="1020"/>
    <s v="20-01-2059"/>
    <x v="1"/>
    <x v="2"/>
    <x v="1"/>
    <n v="3"/>
    <n v="3000"/>
    <n v="9000"/>
  </r>
  <r>
    <n v="1020"/>
    <s v="20-01-2060"/>
    <x v="2"/>
    <x v="3"/>
    <x v="0"/>
    <n v="4"/>
    <n v="25000"/>
    <n v="100000"/>
  </r>
  <r>
    <n v="1020"/>
    <s v="20-01-2061"/>
    <x v="0"/>
    <x v="4"/>
    <x v="0"/>
    <n v="1"/>
    <n v="35000"/>
    <n v="35000"/>
  </r>
  <r>
    <n v="1020"/>
    <s v="20-01-2062"/>
    <x v="1"/>
    <x v="0"/>
    <x v="0"/>
    <n v="6"/>
    <n v="50000"/>
    <n v="300000"/>
  </r>
  <r>
    <n v="1020"/>
    <s v="20-01-2063"/>
    <x v="2"/>
    <x v="1"/>
    <x v="1"/>
    <n v="8"/>
    <n v="1500"/>
    <n v="12000"/>
  </r>
  <r>
    <n v="1020"/>
    <s v="20-01-2064"/>
    <x v="0"/>
    <x v="2"/>
    <x v="1"/>
    <n v="2"/>
    <n v="3000"/>
    <n v="6000"/>
  </r>
  <r>
    <n v="1020"/>
    <s v="20-01-2065"/>
    <x v="1"/>
    <x v="3"/>
    <x v="0"/>
    <n v="5"/>
    <n v="25000"/>
    <n v="125000"/>
  </r>
  <r>
    <n v="1020"/>
    <s v="20-01-2066"/>
    <x v="2"/>
    <x v="4"/>
    <x v="0"/>
    <n v="3"/>
    <n v="35000"/>
    <n v="105000"/>
  </r>
  <r>
    <n v="1020"/>
    <s v="20-01-2067"/>
    <x v="0"/>
    <x v="0"/>
    <x v="0"/>
    <n v="2"/>
    <n v="50000"/>
    <n v="100000"/>
  </r>
  <r>
    <n v="1020"/>
    <s v="20-01-2068"/>
    <x v="1"/>
    <x v="1"/>
    <x v="1"/>
    <n v="5"/>
    <n v="1500"/>
    <n v="7500"/>
  </r>
  <r>
    <n v="1020"/>
    <s v="20-01-2069"/>
    <x v="2"/>
    <x v="2"/>
    <x v="1"/>
    <n v="3"/>
    <n v="3000"/>
    <n v="9000"/>
  </r>
  <r>
    <n v="1020"/>
    <s v="20-01-2070"/>
    <x v="0"/>
    <x v="3"/>
    <x v="0"/>
    <n v="4"/>
    <n v="25000"/>
    <n v="100000"/>
  </r>
  <r>
    <n v="1020"/>
    <s v="20-01-2071"/>
    <x v="1"/>
    <x v="4"/>
    <x v="0"/>
    <n v="1"/>
    <n v="35000"/>
    <n v="35000"/>
  </r>
  <r>
    <n v="1020"/>
    <s v="20-01-2072"/>
    <x v="2"/>
    <x v="0"/>
    <x v="0"/>
    <n v="6"/>
    <n v="50000"/>
    <n v="300000"/>
  </r>
  <r>
    <n v="1020"/>
    <s v="20-01-2073"/>
    <x v="0"/>
    <x v="1"/>
    <x v="1"/>
    <n v="8"/>
    <n v="1500"/>
    <n v="12000"/>
  </r>
  <r>
    <n v="1020"/>
    <s v="20-01-2074"/>
    <x v="1"/>
    <x v="2"/>
    <x v="1"/>
    <n v="2"/>
    <n v="3000"/>
    <n v="6000"/>
  </r>
  <r>
    <n v="1020"/>
    <s v="20-01-2075"/>
    <x v="2"/>
    <x v="3"/>
    <x v="0"/>
    <n v="5"/>
    <n v="25000"/>
    <n v="125000"/>
  </r>
  <r>
    <n v="1020"/>
    <s v="20-01-2076"/>
    <x v="0"/>
    <x v="4"/>
    <x v="0"/>
    <n v="3"/>
    <n v="35000"/>
    <n v="105000"/>
  </r>
  <r>
    <n v="1020"/>
    <s v="20-01-2077"/>
    <x v="1"/>
    <x v="0"/>
    <x v="0"/>
    <n v="2"/>
    <n v="50000"/>
    <n v="100000"/>
  </r>
  <r>
    <n v="1020"/>
    <s v="20-01-2078"/>
    <x v="2"/>
    <x v="1"/>
    <x v="1"/>
    <n v="5"/>
    <n v="1500"/>
    <n v="7500"/>
  </r>
  <r>
    <n v="1020"/>
    <s v="20-01-2079"/>
    <x v="0"/>
    <x v="2"/>
    <x v="1"/>
    <n v="3"/>
    <n v="3000"/>
    <n v="9000"/>
  </r>
  <r>
    <n v="1020"/>
    <s v="20-01-2080"/>
    <x v="1"/>
    <x v="3"/>
    <x v="0"/>
    <n v="4"/>
    <n v="25000"/>
    <n v="100000"/>
  </r>
  <r>
    <n v="1020"/>
    <s v="20-01-2081"/>
    <x v="2"/>
    <x v="4"/>
    <x v="0"/>
    <n v="1"/>
    <n v="35000"/>
    <n v="35000"/>
  </r>
  <r>
    <n v="1020"/>
    <s v="20-01-2082"/>
    <x v="0"/>
    <x v="0"/>
    <x v="0"/>
    <n v="6"/>
    <n v="50000"/>
    <n v="300000"/>
  </r>
  <r>
    <n v="1020"/>
    <s v="20-01-2083"/>
    <x v="1"/>
    <x v="1"/>
    <x v="1"/>
    <n v="8"/>
    <n v="1500"/>
    <n v="12000"/>
  </r>
  <r>
    <n v="1020"/>
    <s v="20-01-2084"/>
    <x v="2"/>
    <x v="2"/>
    <x v="1"/>
    <n v="2"/>
    <n v="3000"/>
    <n v="6000"/>
  </r>
  <r>
    <n v="1020"/>
    <s v="20-01-2085"/>
    <x v="0"/>
    <x v="3"/>
    <x v="0"/>
    <n v="5"/>
    <n v="25000"/>
    <n v="125000"/>
  </r>
  <r>
    <n v="1020"/>
    <s v="20-01-2086"/>
    <x v="1"/>
    <x v="4"/>
    <x v="0"/>
    <n v="3"/>
    <n v="35000"/>
    <n v="105000"/>
  </r>
  <r>
    <n v="1020"/>
    <s v="20-01-2087"/>
    <x v="2"/>
    <x v="0"/>
    <x v="0"/>
    <n v="2"/>
    <n v="50000"/>
    <n v="100000"/>
  </r>
  <r>
    <n v="1020"/>
    <s v="20-01-2088"/>
    <x v="0"/>
    <x v="1"/>
    <x v="1"/>
    <n v="5"/>
    <n v="1500"/>
    <n v="7500"/>
  </r>
  <r>
    <n v="1020"/>
    <s v="20-01-2089"/>
    <x v="1"/>
    <x v="2"/>
    <x v="1"/>
    <n v="3"/>
    <n v="3000"/>
    <n v="9000"/>
  </r>
  <r>
    <n v="1020"/>
    <s v="20-01-2090"/>
    <x v="2"/>
    <x v="3"/>
    <x v="0"/>
    <n v="4"/>
    <n v="25000"/>
    <n v="100000"/>
  </r>
  <r>
    <n v="1020"/>
    <s v="20-01-2091"/>
    <x v="0"/>
    <x v="4"/>
    <x v="0"/>
    <n v="1"/>
    <n v="35000"/>
    <n v="35000"/>
  </r>
  <r>
    <n v="1020"/>
    <s v="20-01-2092"/>
    <x v="1"/>
    <x v="0"/>
    <x v="0"/>
    <n v="6"/>
    <n v="50000"/>
    <n v="300000"/>
  </r>
  <r>
    <n v="1020"/>
    <s v="20-01-2093"/>
    <x v="2"/>
    <x v="1"/>
    <x v="1"/>
    <n v="8"/>
    <n v="1500"/>
    <n v="12000"/>
  </r>
  <r>
    <n v="1020"/>
    <s v="20-01-2094"/>
    <x v="0"/>
    <x v="2"/>
    <x v="1"/>
    <n v="2"/>
    <n v="3000"/>
    <n v="6000"/>
  </r>
  <r>
    <n v="1020"/>
    <s v="20-01-2095"/>
    <x v="1"/>
    <x v="3"/>
    <x v="0"/>
    <n v="5"/>
    <n v="25000"/>
    <n v="125000"/>
  </r>
  <r>
    <n v="1020"/>
    <s v="20-01-2096"/>
    <x v="2"/>
    <x v="4"/>
    <x v="0"/>
    <n v="3"/>
    <n v="35000"/>
    <n v="105000"/>
  </r>
  <r>
    <n v="1020"/>
    <s v="20-01-2097"/>
    <x v="0"/>
    <x v="0"/>
    <x v="0"/>
    <n v="2"/>
    <n v="50000"/>
    <n v="100000"/>
  </r>
  <r>
    <n v="1020"/>
    <s v="20-01-2098"/>
    <x v="1"/>
    <x v="1"/>
    <x v="1"/>
    <n v="5"/>
    <n v="1500"/>
    <n v="7500"/>
  </r>
  <r>
    <n v="1020"/>
    <s v="20-01-2099"/>
    <x v="2"/>
    <x v="2"/>
    <x v="1"/>
    <n v="3"/>
    <n v="3000"/>
    <n v="9000"/>
  </r>
  <r>
    <n v="1020"/>
    <s v="20-01-2100"/>
    <x v="0"/>
    <x v="3"/>
    <x v="0"/>
    <n v="4"/>
    <n v="25000"/>
    <n v="100000"/>
  </r>
  <r>
    <n v="1020"/>
    <s v="20-01-2101"/>
    <x v="1"/>
    <x v="4"/>
    <x v="0"/>
    <n v="1"/>
    <n v="35000"/>
    <n v="35000"/>
  </r>
  <r>
    <n v="1020"/>
    <s v="20-01-2102"/>
    <x v="2"/>
    <x v="0"/>
    <x v="0"/>
    <n v="6"/>
    <n v="50000"/>
    <n v="300000"/>
  </r>
  <r>
    <n v="1020"/>
    <s v="20-01-2103"/>
    <x v="0"/>
    <x v="1"/>
    <x v="1"/>
    <n v="8"/>
    <n v="1500"/>
    <n v="12000"/>
  </r>
  <r>
    <n v="1020"/>
    <s v="20-01-2104"/>
    <x v="1"/>
    <x v="2"/>
    <x v="1"/>
    <n v="2"/>
    <n v="3000"/>
    <n v="6000"/>
  </r>
  <r>
    <n v="1020"/>
    <s v="20-01-2105"/>
    <x v="2"/>
    <x v="3"/>
    <x v="0"/>
    <n v="5"/>
    <n v="25000"/>
    <n v="125000"/>
  </r>
  <r>
    <m/>
    <m/>
    <x v="3"/>
    <x v="4"/>
    <x v="0"/>
    <n v="3"/>
    <n v="35000"/>
    <n v="10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22:C29" firstHeaderRow="1" firstDataRow="1" firstDataCol="2"/>
  <pivotFields count="8">
    <pivotField compact="0" outline="0" showAll="0" defaultSubtotal="0"/>
    <pivotField compact="0" outline="0" showAll="0" defaultSubtotal="0"/>
    <pivotField axis="axisRow" compact="0" outline="0" showAll="0" defaultSubtotal="0">
      <items count="4">
        <item x="2"/>
        <item x="0"/>
        <item x="1"/>
        <item h="1" x="3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2"/>
    <field x="4"/>
  </rowFields>
  <rowItems count="7">
    <i>
      <x/>
      <x/>
    </i>
    <i r="1">
      <x v="1"/>
    </i>
    <i>
      <x v="1"/>
      <x/>
    </i>
    <i r="1">
      <x v="1"/>
    </i>
    <i>
      <x v="2"/>
      <x/>
    </i>
    <i r="1">
      <x v="1"/>
    </i>
    <i t="grand">
      <x/>
    </i>
  </rowItems>
  <colItems count="1">
    <i/>
  </colItems>
  <dataFields count="1">
    <dataField name="Sum of Sales" fld="7" baseField="0" baseItem="0"/>
  </dataFields>
  <formats count="11">
    <format dxfId="10">
      <pivotArea field="2" type="button" dataOnly="0" labelOnly="1" outline="0" axis="axisRow" fieldPosition="0"/>
    </format>
    <format dxfId="9">
      <pivotArea field="4" type="button" dataOnly="0" labelOnly="1" outline="0" axis="axisRow" fieldPosition="1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outline="0" collapsedLevelsAreSubtotals="1" fieldPosition="0">
        <references count="2">
          <reference field="2" count="0" selected="0"/>
          <reference field="4" count="0" selected="0"/>
        </references>
      </pivotArea>
    </format>
    <format dxfId="5">
      <pivotArea dataOnly="0" labelOnly="1" outline="0" fieldPosition="0">
        <references count="1">
          <reference field="2" count="0"/>
        </references>
      </pivotArea>
    </format>
    <format dxfId="4">
      <pivotArea dataOnly="0" labelOnly="1" outline="0" fieldPosition="0">
        <references count="2">
          <reference field="2" count="1" selected="0">
            <x v="0"/>
          </reference>
          <reference field="4" count="0"/>
        </references>
      </pivotArea>
    </format>
    <format dxfId="3">
      <pivotArea dataOnly="0" labelOnly="1" outline="0" fieldPosition="0">
        <references count="2">
          <reference field="2" count="1" selected="0">
            <x v="1"/>
          </reference>
          <reference field="4" count="0"/>
        </references>
      </pivotArea>
    </format>
    <format dxfId="2">
      <pivotArea dataOnly="0" labelOnly="1" outline="0" fieldPosition="0">
        <references count="2">
          <reference field="2" count="1" selected="0">
            <x v="2"/>
          </reference>
          <reference field="4" count="0"/>
        </references>
      </pivotArea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B11" firstHeaderRow="1" firstDataRow="1" firstDataCol="1"/>
  <pivotFields count="8"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formats count="9">
    <format dxfId="19">
      <pivotArea field="3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3" count="1">
            <x v="0"/>
          </reference>
        </references>
      </pivotArea>
    </format>
    <format dxfId="15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>
            <x v="2"/>
          </reference>
        </references>
      </pivotArea>
    </format>
    <format dxfId="13">
      <pivotArea dataOnly="0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01" totalsRowShown="0" headerRowDxfId="25">
  <autoFilter ref="A1:H101"/>
  <tableColumns count="8">
    <tableColumn id="1" name="Order_ID" dataDxfId="24"/>
    <tableColumn id="2" name="Date" dataDxfId="23"/>
    <tableColumn id="3" name="Region"/>
    <tableColumn id="4" name="Product"/>
    <tableColumn id="5" name="Category">
      <calculatedColumnFormula>IF(OR(D2="Laptop",D2="Monitor",D2="printer"),"Electronics","Accessories")</calculatedColumnFormula>
    </tableColumn>
    <tableColumn id="6" name="Quantity" dataDxfId="22">
      <calculatedColumnFormula>CHOOSE(MOD(ROW()-2,10)+1,2,5,3,4,1,6,8,2,5,3)</calculatedColumnFormula>
    </tableColumn>
    <tableColumn id="7" name="Unit_price" dataDxfId="21">
      <calculatedColumnFormula>IF(D2="Laptop",50000,IF(D2="Mouse",1500,IF(D2="Keyboard",3000,IF(D2="Monitor",25000,35000))))</calculatedColumnFormula>
    </tableColumn>
    <tableColumn id="8" name="Sales" dataDxfId="2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A17" sqref="A17"/>
    </sheetView>
  </sheetViews>
  <sheetFormatPr defaultRowHeight="14.5" x14ac:dyDescent="0.35"/>
  <cols>
    <col min="1" max="1" width="36.81640625" customWidth="1"/>
    <col min="2" max="3" width="14.36328125" bestFit="1" customWidth="1"/>
  </cols>
  <sheetData>
    <row r="1" spans="1:10" ht="26" x14ac:dyDescent="0.6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</row>
    <row r="5" spans="1:10" ht="18.5" x14ac:dyDescent="0.45">
      <c r="A5" s="5" t="s">
        <v>105</v>
      </c>
      <c r="B5" s="4" t="s">
        <v>107</v>
      </c>
    </row>
    <row r="6" spans="1:10" ht="15.5" x14ac:dyDescent="0.35">
      <c r="A6" s="6" t="s">
        <v>14</v>
      </c>
      <c r="B6" s="7">
        <v>150000</v>
      </c>
    </row>
    <row r="7" spans="1:10" ht="15.5" x14ac:dyDescent="0.35">
      <c r="A7" s="6" t="s">
        <v>8</v>
      </c>
      <c r="B7" s="7">
        <v>4000000</v>
      </c>
    </row>
    <row r="8" spans="1:10" ht="15.5" x14ac:dyDescent="0.35">
      <c r="A8" s="6" t="s">
        <v>15</v>
      </c>
      <c r="B8" s="7">
        <v>2250000</v>
      </c>
    </row>
    <row r="9" spans="1:10" ht="15.5" x14ac:dyDescent="0.35">
      <c r="A9" s="6" t="s">
        <v>11</v>
      </c>
      <c r="B9" s="7">
        <v>195000</v>
      </c>
    </row>
    <row r="10" spans="1:10" ht="15.5" x14ac:dyDescent="0.35">
      <c r="A10" s="6" t="s">
        <v>16</v>
      </c>
      <c r="B10" s="7">
        <v>1400000</v>
      </c>
    </row>
    <row r="11" spans="1:10" ht="15.5" x14ac:dyDescent="0.35">
      <c r="A11" s="6" t="s">
        <v>106</v>
      </c>
      <c r="B11" s="7">
        <v>7995000</v>
      </c>
    </row>
    <row r="22" spans="1:3" ht="18.5" x14ac:dyDescent="0.45">
      <c r="A22" s="5" t="s">
        <v>2</v>
      </c>
      <c r="B22" s="5" t="s">
        <v>4</v>
      </c>
      <c r="C22" s="4" t="s">
        <v>107</v>
      </c>
    </row>
    <row r="23" spans="1:3" ht="15.5" x14ac:dyDescent="0.35">
      <c r="A23" s="3" t="s">
        <v>13</v>
      </c>
      <c r="B23" s="3" t="s">
        <v>12</v>
      </c>
      <c r="C23" s="7">
        <v>112500</v>
      </c>
    </row>
    <row r="24" spans="1:3" ht="15.5" x14ac:dyDescent="0.35">
      <c r="A24" s="3"/>
      <c r="B24" s="3" t="s">
        <v>9</v>
      </c>
      <c r="C24" s="7">
        <v>2720000</v>
      </c>
    </row>
    <row r="25" spans="1:3" ht="15.5" x14ac:dyDescent="0.35">
      <c r="A25" s="3" t="s">
        <v>7</v>
      </c>
      <c r="B25" s="3" t="s">
        <v>12</v>
      </c>
      <c r="C25" s="7">
        <v>115500</v>
      </c>
    </row>
    <row r="26" spans="1:3" ht="15.5" x14ac:dyDescent="0.35">
      <c r="A26" s="3"/>
      <c r="B26" s="3" t="s">
        <v>9</v>
      </c>
      <c r="C26" s="7">
        <v>2495000</v>
      </c>
    </row>
    <row r="27" spans="1:3" ht="15.5" x14ac:dyDescent="0.35">
      <c r="A27" s="3" t="s">
        <v>10</v>
      </c>
      <c r="B27" s="3" t="s">
        <v>12</v>
      </c>
      <c r="C27" s="7">
        <v>117000</v>
      </c>
    </row>
    <row r="28" spans="1:3" ht="15.5" x14ac:dyDescent="0.35">
      <c r="A28" s="3"/>
      <c r="B28" s="3" t="s">
        <v>9</v>
      </c>
      <c r="C28" s="7">
        <v>2330000</v>
      </c>
    </row>
    <row r="29" spans="1:3" ht="15.5" x14ac:dyDescent="0.35">
      <c r="A29" s="3" t="s">
        <v>106</v>
      </c>
      <c r="C29" s="7">
        <v>7890000</v>
      </c>
    </row>
  </sheetData>
  <mergeCells count="1">
    <mergeCell ref="A1:J1"/>
  </mergeCell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opLeftCell="A74" workbookViewId="0">
      <selection activeCell="E100" sqref="E100"/>
    </sheetView>
  </sheetViews>
  <sheetFormatPr defaultRowHeight="14.5" x14ac:dyDescent="0.35"/>
  <cols>
    <col min="1" max="1" width="10.54296875" style="1" customWidth="1"/>
    <col min="2" max="2" width="10.08984375" style="1" bestFit="1" customWidth="1"/>
    <col min="3" max="3" width="9.453125" bestFit="1" customWidth="1"/>
    <col min="4" max="4" width="9.453125" customWidth="1"/>
    <col min="5" max="5" width="10.36328125" bestFit="1" customWidth="1"/>
    <col min="6" max="6" width="12.7265625" style="1" bestFit="1" customWidth="1"/>
    <col min="7" max="7" width="14" style="1" bestFit="1" customWidth="1"/>
    <col min="8" max="8" width="9.54296875" style="1" bestFit="1" customWidth="1"/>
    <col min="11" max="11" width="10.36328125" bestFit="1" customWidth="1"/>
  </cols>
  <sheetData>
    <row r="1" spans="1:9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104</v>
      </c>
      <c r="H1" s="1" t="s">
        <v>6</v>
      </c>
    </row>
    <row r="2" spans="1:9" x14ac:dyDescent="0.35">
      <c r="A2" s="1">
        <v>1001</v>
      </c>
      <c r="B2" s="2">
        <v>46023</v>
      </c>
      <c r="C2" t="s">
        <v>7</v>
      </c>
      <c r="D2" t="s">
        <v>8</v>
      </c>
      <c r="E2" t="str">
        <f>IF(OR(D2="Laptop",D2="Monitor",D2="printer"),"Electronics","Accessories")</f>
        <v>Electronics</v>
      </c>
      <c r="F2" s="1">
        <f>CHOOSE(MOD(ROW()-2,10)+1,2,5,3,4,1,6,8,2,5,3)</f>
        <v>2</v>
      </c>
      <c r="G2" s="1">
        <f>IF(D2="Laptop",50000,IF(D2="Mouse",1500,IF(D2="Keyboard",3000,IF(D2="Monitor",25000,35000))))</f>
        <v>50000</v>
      </c>
      <c r="H2" s="1">
        <f>F2*G2</f>
        <v>100000</v>
      </c>
      <c r="I2" s="1"/>
    </row>
    <row r="3" spans="1:9" x14ac:dyDescent="0.35">
      <c r="A3" s="1">
        <v>1002</v>
      </c>
      <c r="B3" s="2">
        <v>46054</v>
      </c>
      <c r="C3" t="s">
        <v>10</v>
      </c>
      <c r="D3" t="s">
        <v>11</v>
      </c>
      <c r="E3" t="str">
        <f t="shared" ref="E3:E66" si="0">IF(OR(D3="Laptop",D3="Monitor",D3="printer"),"Electronics","Accessories")</f>
        <v>Accessories</v>
      </c>
      <c r="F3" s="1">
        <f t="shared" ref="F3:F66" si="1">CHOOSE(MOD(ROW()-2,10)+1,2,5,3,4,1,6,8,2,5,3)</f>
        <v>5</v>
      </c>
      <c r="G3" s="1">
        <f t="shared" ref="G3:G66" si="2">IF(D3="Laptop",50000,IF(D3="Mouse",1500,IF(D3="Keyboard",3000,IF(D3="Monitor",25000,35000))))</f>
        <v>1500</v>
      </c>
      <c r="H3" s="1">
        <f t="shared" ref="H3:H66" si="3">F3*G3</f>
        <v>7500</v>
      </c>
      <c r="I3" s="1"/>
    </row>
    <row r="4" spans="1:9" x14ac:dyDescent="0.35">
      <c r="A4" s="1">
        <v>1003</v>
      </c>
      <c r="B4" s="2">
        <v>46082</v>
      </c>
      <c r="C4" t="s">
        <v>13</v>
      </c>
      <c r="D4" t="s">
        <v>14</v>
      </c>
      <c r="E4" t="str">
        <f t="shared" si="0"/>
        <v>Accessories</v>
      </c>
      <c r="F4" s="1">
        <f t="shared" si="1"/>
        <v>3</v>
      </c>
      <c r="G4" s="1">
        <f t="shared" si="2"/>
        <v>3000</v>
      </c>
      <c r="H4" s="1">
        <f t="shared" si="3"/>
        <v>9000</v>
      </c>
      <c r="I4" s="1"/>
    </row>
    <row r="5" spans="1:9" x14ac:dyDescent="0.35">
      <c r="A5" s="1">
        <v>1004</v>
      </c>
      <c r="B5" s="2">
        <v>46113</v>
      </c>
      <c r="C5" t="s">
        <v>7</v>
      </c>
      <c r="D5" t="s">
        <v>15</v>
      </c>
      <c r="E5" t="str">
        <f t="shared" si="0"/>
        <v>Electronics</v>
      </c>
      <c r="F5" s="1">
        <f t="shared" si="1"/>
        <v>4</v>
      </c>
      <c r="G5" s="1">
        <f t="shared" si="2"/>
        <v>25000</v>
      </c>
      <c r="H5" s="1">
        <f t="shared" si="3"/>
        <v>100000</v>
      </c>
      <c r="I5" s="1"/>
    </row>
    <row r="6" spans="1:9" x14ac:dyDescent="0.35">
      <c r="A6" s="1">
        <v>1005</v>
      </c>
      <c r="B6" s="2">
        <v>46143</v>
      </c>
      <c r="C6" t="s">
        <v>10</v>
      </c>
      <c r="D6" t="s">
        <v>16</v>
      </c>
      <c r="E6" t="str">
        <f t="shared" si="0"/>
        <v>Electronics</v>
      </c>
      <c r="F6" s="1">
        <f t="shared" si="1"/>
        <v>1</v>
      </c>
      <c r="G6" s="1">
        <f t="shared" si="2"/>
        <v>35000</v>
      </c>
      <c r="H6" s="1">
        <f t="shared" si="3"/>
        <v>35000</v>
      </c>
      <c r="I6" s="1"/>
    </row>
    <row r="7" spans="1:9" x14ac:dyDescent="0.35">
      <c r="A7" s="1">
        <v>1006</v>
      </c>
      <c r="B7" s="2">
        <v>46174</v>
      </c>
      <c r="C7" t="s">
        <v>13</v>
      </c>
      <c r="D7" t="s">
        <v>8</v>
      </c>
      <c r="E7" t="str">
        <f t="shared" si="0"/>
        <v>Electronics</v>
      </c>
      <c r="F7" s="1">
        <f t="shared" si="1"/>
        <v>6</v>
      </c>
      <c r="G7" s="1">
        <f t="shared" si="2"/>
        <v>50000</v>
      </c>
      <c r="H7" s="1">
        <f t="shared" si="3"/>
        <v>300000</v>
      </c>
      <c r="I7" s="1"/>
    </row>
    <row r="8" spans="1:9" x14ac:dyDescent="0.35">
      <c r="A8" s="1">
        <v>1007</v>
      </c>
      <c r="B8" s="2">
        <v>46204</v>
      </c>
      <c r="C8" t="s">
        <v>7</v>
      </c>
      <c r="D8" t="s">
        <v>11</v>
      </c>
      <c r="E8" t="str">
        <f t="shared" si="0"/>
        <v>Accessories</v>
      </c>
      <c r="F8" s="1">
        <f t="shared" si="1"/>
        <v>8</v>
      </c>
      <c r="G8" s="1">
        <f t="shared" si="2"/>
        <v>1500</v>
      </c>
      <c r="H8" s="1">
        <f t="shared" si="3"/>
        <v>12000</v>
      </c>
      <c r="I8" s="1"/>
    </row>
    <row r="9" spans="1:9" x14ac:dyDescent="0.35">
      <c r="A9" s="1">
        <v>1008</v>
      </c>
      <c r="B9" s="2">
        <v>46235</v>
      </c>
      <c r="C9" t="s">
        <v>10</v>
      </c>
      <c r="D9" t="s">
        <v>14</v>
      </c>
      <c r="E9" t="str">
        <f t="shared" si="0"/>
        <v>Accessories</v>
      </c>
      <c r="F9" s="1">
        <f t="shared" si="1"/>
        <v>2</v>
      </c>
      <c r="G9" s="1">
        <f t="shared" si="2"/>
        <v>3000</v>
      </c>
      <c r="H9" s="1">
        <f t="shared" si="3"/>
        <v>6000</v>
      </c>
      <c r="I9" s="1"/>
    </row>
    <row r="10" spans="1:9" x14ac:dyDescent="0.35">
      <c r="A10" s="1">
        <v>1009</v>
      </c>
      <c r="B10" s="2">
        <v>46266</v>
      </c>
      <c r="C10" t="s">
        <v>13</v>
      </c>
      <c r="D10" t="s">
        <v>15</v>
      </c>
      <c r="E10" t="str">
        <f t="shared" si="0"/>
        <v>Electronics</v>
      </c>
      <c r="F10" s="1">
        <f t="shared" si="1"/>
        <v>5</v>
      </c>
      <c r="G10" s="1">
        <f t="shared" si="2"/>
        <v>25000</v>
      </c>
      <c r="H10" s="1">
        <f t="shared" si="3"/>
        <v>125000</v>
      </c>
      <c r="I10" s="1"/>
    </row>
    <row r="11" spans="1:9" x14ac:dyDescent="0.35">
      <c r="A11" s="1">
        <v>1010</v>
      </c>
      <c r="B11" s="2">
        <v>46296</v>
      </c>
      <c r="C11" t="s">
        <v>7</v>
      </c>
      <c r="D11" t="s">
        <v>16</v>
      </c>
      <c r="E11" t="str">
        <f t="shared" si="0"/>
        <v>Electronics</v>
      </c>
      <c r="F11" s="1">
        <f t="shared" si="1"/>
        <v>3</v>
      </c>
      <c r="G11" s="1">
        <f t="shared" si="2"/>
        <v>35000</v>
      </c>
      <c r="H11" s="1">
        <f t="shared" si="3"/>
        <v>105000</v>
      </c>
      <c r="I11" s="1"/>
    </row>
    <row r="12" spans="1:9" x14ac:dyDescent="0.35">
      <c r="A12" s="1">
        <v>1011</v>
      </c>
      <c r="B12" s="2">
        <v>46327</v>
      </c>
      <c r="C12" t="s">
        <v>10</v>
      </c>
      <c r="D12" t="s">
        <v>8</v>
      </c>
      <c r="E12" t="str">
        <f t="shared" si="0"/>
        <v>Electronics</v>
      </c>
      <c r="F12" s="1">
        <f t="shared" si="1"/>
        <v>2</v>
      </c>
      <c r="G12" s="1">
        <f t="shared" si="2"/>
        <v>50000</v>
      </c>
      <c r="H12" s="1">
        <f t="shared" si="3"/>
        <v>100000</v>
      </c>
      <c r="I12" s="1"/>
    </row>
    <row r="13" spans="1:9" x14ac:dyDescent="0.35">
      <c r="A13" s="1">
        <v>1012</v>
      </c>
      <c r="B13" s="2">
        <v>46357</v>
      </c>
      <c r="C13" t="s">
        <v>13</v>
      </c>
      <c r="D13" t="s">
        <v>11</v>
      </c>
      <c r="E13" t="str">
        <f t="shared" si="0"/>
        <v>Accessories</v>
      </c>
      <c r="F13" s="1">
        <f t="shared" si="1"/>
        <v>5</v>
      </c>
      <c r="G13" s="1">
        <f t="shared" si="2"/>
        <v>1500</v>
      </c>
      <c r="H13" s="1">
        <f t="shared" si="3"/>
        <v>7500</v>
      </c>
      <c r="I13" s="1"/>
    </row>
    <row r="14" spans="1:9" x14ac:dyDescent="0.35">
      <c r="A14" s="1">
        <v>1013</v>
      </c>
      <c r="B14" s="1" t="s">
        <v>17</v>
      </c>
      <c r="C14" t="s">
        <v>7</v>
      </c>
      <c r="D14" t="s">
        <v>14</v>
      </c>
      <c r="E14" t="str">
        <f t="shared" si="0"/>
        <v>Accessories</v>
      </c>
      <c r="F14" s="1">
        <f t="shared" si="1"/>
        <v>3</v>
      </c>
      <c r="G14" s="1">
        <f t="shared" si="2"/>
        <v>3000</v>
      </c>
      <c r="H14" s="1">
        <f t="shared" si="3"/>
        <v>9000</v>
      </c>
      <c r="I14" s="1"/>
    </row>
    <row r="15" spans="1:9" x14ac:dyDescent="0.35">
      <c r="A15" s="1">
        <v>1014</v>
      </c>
      <c r="B15" s="1" t="s">
        <v>18</v>
      </c>
      <c r="C15" t="s">
        <v>10</v>
      </c>
      <c r="D15" t="s">
        <v>15</v>
      </c>
      <c r="E15" t="str">
        <f t="shared" si="0"/>
        <v>Electronics</v>
      </c>
      <c r="F15" s="1">
        <f t="shared" si="1"/>
        <v>4</v>
      </c>
      <c r="G15" s="1">
        <f t="shared" si="2"/>
        <v>25000</v>
      </c>
      <c r="H15" s="1">
        <f t="shared" si="3"/>
        <v>100000</v>
      </c>
      <c r="I15" s="1"/>
    </row>
    <row r="16" spans="1:9" x14ac:dyDescent="0.35">
      <c r="A16" s="1">
        <v>1015</v>
      </c>
      <c r="B16" s="1" t="s">
        <v>19</v>
      </c>
      <c r="C16" t="s">
        <v>13</v>
      </c>
      <c r="D16" t="s">
        <v>16</v>
      </c>
      <c r="E16" t="str">
        <f t="shared" si="0"/>
        <v>Electronics</v>
      </c>
      <c r="F16" s="1">
        <f t="shared" si="1"/>
        <v>1</v>
      </c>
      <c r="G16" s="1">
        <f t="shared" si="2"/>
        <v>35000</v>
      </c>
      <c r="H16" s="1">
        <f t="shared" si="3"/>
        <v>35000</v>
      </c>
      <c r="I16" s="1"/>
    </row>
    <row r="17" spans="1:10" x14ac:dyDescent="0.35">
      <c r="A17" s="1">
        <v>1016</v>
      </c>
      <c r="B17" s="1" t="s">
        <v>20</v>
      </c>
      <c r="C17" t="s">
        <v>7</v>
      </c>
      <c r="D17" t="s">
        <v>8</v>
      </c>
      <c r="E17" t="str">
        <f t="shared" si="0"/>
        <v>Electronics</v>
      </c>
      <c r="F17" s="1">
        <f t="shared" si="1"/>
        <v>6</v>
      </c>
      <c r="G17" s="1">
        <f t="shared" si="2"/>
        <v>50000</v>
      </c>
      <c r="H17" s="1">
        <f t="shared" si="3"/>
        <v>300000</v>
      </c>
      <c r="I17" s="1"/>
    </row>
    <row r="18" spans="1:10" x14ac:dyDescent="0.35">
      <c r="A18" s="1">
        <v>1017</v>
      </c>
      <c r="B18" s="1" t="s">
        <v>21</v>
      </c>
      <c r="C18" t="s">
        <v>10</v>
      </c>
      <c r="D18" t="s">
        <v>11</v>
      </c>
      <c r="E18" t="str">
        <f t="shared" si="0"/>
        <v>Accessories</v>
      </c>
      <c r="F18" s="1">
        <f t="shared" si="1"/>
        <v>8</v>
      </c>
      <c r="G18" s="1">
        <f t="shared" si="2"/>
        <v>1500</v>
      </c>
      <c r="H18" s="1">
        <f t="shared" si="3"/>
        <v>12000</v>
      </c>
      <c r="I18" s="1"/>
    </row>
    <row r="19" spans="1:10" x14ac:dyDescent="0.35">
      <c r="A19" s="1">
        <v>1018</v>
      </c>
      <c r="B19" s="1" t="s">
        <v>22</v>
      </c>
      <c r="C19" t="s">
        <v>13</v>
      </c>
      <c r="D19" t="s">
        <v>14</v>
      </c>
      <c r="E19" t="str">
        <f t="shared" si="0"/>
        <v>Accessories</v>
      </c>
      <c r="F19" s="1">
        <f t="shared" si="1"/>
        <v>2</v>
      </c>
      <c r="G19" s="1">
        <f t="shared" si="2"/>
        <v>3000</v>
      </c>
      <c r="H19" s="1">
        <f t="shared" si="3"/>
        <v>6000</v>
      </c>
      <c r="I19" s="1"/>
    </row>
    <row r="20" spans="1:10" x14ac:dyDescent="0.35">
      <c r="A20" s="1">
        <v>1019</v>
      </c>
      <c r="B20" s="1" t="s">
        <v>23</v>
      </c>
      <c r="C20" t="s">
        <v>7</v>
      </c>
      <c r="D20" t="s">
        <v>15</v>
      </c>
      <c r="E20" t="str">
        <f t="shared" si="0"/>
        <v>Electronics</v>
      </c>
      <c r="F20" s="1">
        <f t="shared" si="1"/>
        <v>5</v>
      </c>
      <c r="G20" s="1">
        <f t="shared" si="2"/>
        <v>25000</v>
      </c>
      <c r="H20" s="1">
        <f t="shared" si="3"/>
        <v>125000</v>
      </c>
      <c r="I20" s="1"/>
    </row>
    <row r="21" spans="1:10" x14ac:dyDescent="0.35">
      <c r="A21" s="1">
        <v>1020</v>
      </c>
      <c r="B21" s="1" t="s">
        <v>24</v>
      </c>
      <c r="C21" t="s">
        <v>10</v>
      </c>
      <c r="D21" t="s">
        <v>16</v>
      </c>
      <c r="E21" t="str">
        <f t="shared" si="0"/>
        <v>Electronics</v>
      </c>
      <c r="F21" s="1">
        <f t="shared" si="1"/>
        <v>3</v>
      </c>
      <c r="G21" s="1">
        <f t="shared" si="2"/>
        <v>35000</v>
      </c>
      <c r="H21" s="1">
        <f t="shared" si="3"/>
        <v>105000</v>
      </c>
      <c r="I21" s="1"/>
    </row>
    <row r="22" spans="1:10" x14ac:dyDescent="0.35">
      <c r="A22" s="1">
        <v>1020</v>
      </c>
      <c r="B22" s="1" t="s">
        <v>25</v>
      </c>
      <c r="C22" t="s">
        <v>13</v>
      </c>
      <c r="D22" t="s">
        <v>8</v>
      </c>
      <c r="E22" t="str">
        <f t="shared" si="0"/>
        <v>Electronics</v>
      </c>
      <c r="F22" s="1">
        <f t="shared" si="1"/>
        <v>2</v>
      </c>
      <c r="G22" s="1">
        <f t="shared" si="2"/>
        <v>50000</v>
      </c>
      <c r="H22" s="1">
        <f t="shared" si="3"/>
        <v>100000</v>
      </c>
      <c r="J22" s="1"/>
    </row>
    <row r="23" spans="1:10" x14ac:dyDescent="0.35">
      <c r="A23" s="1">
        <v>1020</v>
      </c>
      <c r="B23" s="1" t="s">
        <v>26</v>
      </c>
      <c r="C23" t="s">
        <v>7</v>
      </c>
      <c r="D23" t="s">
        <v>11</v>
      </c>
      <c r="E23" t="str">
        <f t="shared" si="0"/>
        <v>Accessories</v>
      </c>
      <c r="F23" s="1">
        <f t="shared" si="1"/>
        <v>5</v>
      </c>
      <c r="G23" s="1">
        <f t="shared" si="2"/>
        <v>1500</v>
      </c>
      <c r="H23" s="1">
        <f t="shared" si="3"/>
        <v>7500</v>
      </c>
      <c r="J23" s="1"/>
    </row>
    <row r="24" spans="1:10" x14ac:dyDescent="0.35">
      <c r="A24" s="1">
        <v>1020</v>
      </c>
      <c r="B24" s="1" t="s">
        <v>27</v>
      </c>
      <c r="C24" t="s">
        <v>10</v>
      </c>
      <c r="D24" t="s">
        <v>14</v>
      </c>
      <c r="E24" t="str">
        <f t="shared" si="0"/>
        <v>Accessories</v>
      </c>
      <c r="F24" s="1">
        <f t="shared" si="1"/>
        <v>3</v>
      </c>
      <c r="G24" s="1">
        <f t="shared" si="2"/>
        <v>3000</v>
      </c>
      <c r="H24" s="1">
        <f t="shared" si="3"/>
        <v>9000</v>
      </c>
      <c r="J24" s="1"/>
    </row>
    <row r="25" spans="1:10" x14ac:dyDescent="0.35">
      <c r="A25" s="1">
        <v>1020</v>
      </c>
      <c r="B25" s="1" t="s">
        <v>28</v>
      </c>
      <c r="C25" t="s">
        <v>13</v>
      </c>
      <c r="D25" t="s">
        <v>15</v>
      </c>
      <c r="E25" t="str">
        <f t="shared" si="0"/>
        <v>Electronics</v>
      </c>
      <c r="F25" s="1">
        <f t="shared" si="1"/>
        <v>4</v>
      </c>
      <c r="G25" s="1">
        <f t="shared" si="2"/>
        <v>25000</v>
      </c>
      <c r="H25" s="1">
        <f t="shared" si="3"/>
        <v>100000</v>
      </c>
      <c r="J25" s="1"/>
    </row>
    <row r="26" spans="1:10" x14ac:dyDescent="0.35">
      <c r="A26" s="1">
        <v>1020</v>
      </c>
      <c r="B26" s="1" t="s">
        <v>29</v>
      </c>
      <c r="C26" t="s">
        <v>7</v>
      </c>
      <c r="D26" t="s">
        <v>16</v>
      </c>
      <c r="E26" t="str">
        <f t="shared" si="0"/>
        <v>Electronics</v>
      </c>
      <c r="F26" s="1">
        <f t="shared" si="1"/>
        <v>1</v>
      </c>
      <c r="G26" s="1">
        <f t="shared" si="2"/>
        <v>35000</v>
      </c>
      <c r="H26" s="1">
        <f t="shared" si="3"/>
        <v>35000</v>
      </c>
      <c r="J26" s="1"/>
    </row>
    <row r="27" spans="1:10" x14ac:dyDescent="0.35">
      <c r="A27" s="1">
        <v>1020</v>
      </c>
      <c r="B27" s="1" t="s">
        <v>30</v>
      </c>
      <c r="C27" t="s">
        <v>10</v>
      </c>
      <c r="D27" t="s">
        <v>8</v>
      </c>
      <c r="E27" t="str">
        <f t="shared" si="0"/>
        <v>Electronics</v>
      </c>
      <c r="F27" s="1">
        <f t="shared" si="1"/>
        <v>6</v>
      </c>
      <c r="G27" s="1">
        <f t="shared" si="2"/>
        <v>50000</v>
      </c>
      <c r="H27" s="1">
        <f t="shared" si="3"/>
        <v>300000</v>
      </c>
      <c r="J27" s="1"/>
    </row>
    <row r="28" spans="1:10" x14ac:dyDescent="0.35">
      <c r="A28" s="1">
        <v>1020</v>
      </c>
      <c r="B28" s="1" t="s">
        <v>31</v>
      </c>
      <c r="C28" t="s">
        <v>13</v>
      </c>
      <c r="D28" t="s">
        <v>11</v>
      </c>
      <c r="E28" t="str">
        <f t="shared" si="0"/>
        <v>Accessories</v>
      </c>
      <c r="F28" s="1">
        <f t="shared" si="1"/>
        <v>8</v>
      </c>
      <c r="G28" s="1">
        <f t="shared" si="2"/>
        <v>1500</v>
      </c>
      <c r="H28" s="1">
        <f t="shared" si="3"/>
        <v>12000</v>
      </c>
      <c r="J28" s="1"/>
    </row>
    <row r="29" spans="1:10" x14ac:dyDescent="0.35">
      <c r="A29" s="1">
        <v>1020</v>
      </c>
      <c r="B29" s="1" t="s">
        <v>32</v>
      </c>
      <c r="C29" t="s">
        <v>7</v>
      </c>
      <c r="D29" t="s">
        <v>14</v>
      </c>
      <c r="E29" t="str">
        <f t="shared" si="0"/>
        <v>Accessories</v>
      </c>
      <c r="F29" s="1">
        <f t="shared" si="1"/>
        <v>2</v>
      </c>
      <c r="G29" s="1">
        <f t="shared" si="2"/>
        <v>3000</v>
      </c>
      <c r="H29" s="1">
        <f t="shared" si="3"/>
        <v>6000</v>
      </c>
      <c r="J29" s="1"/>
    </row>
    <row r="30" spans="1:10" x14ac:dyDescent="0.35">
      <c r="A30" s="1">
        <v>1020</v>
      </c>
      <c r="B30" s="1" t="s">
        <v>33</v>
      </c>
      <c r="C30" t="s">
        <v>10</v>
      </c>
      <c r="D30" t="s">
        <v>15</v>
      </c>
      <c r="E30" t="str">
        <f t="shared" si="0"/>
        <v>Electronics</v>
      </c>
      <c r="F30" s="1">
        <f t="shared" si="1"/>
        <v>5</v>
      </c>
      <c r="G30" s="1">
        <f t="shared" si="2"/>
        <v>25000</v>
      </c>
      <c r="H30" s="1">
        <f t="shared" si="3"/>
        <v>125000</v>
      </c>
      <c r="J30" s="1"/>
    </row>
    <row r="31" spans="1:10" x14ac:dyDescent="0.35">
      <c r="A31" s="1">
        <v>1020</v>
      </c>
      <c r="B31" s="1" t="s">
        <v>34</v>
      </c>
      <c r="C31" t="s">
        <v>13</v>
      </c>
      <c r="D31" t="s">
        <v>16</v>
      </c>
      <c r="E31" t="str">
        <f t="shared" si="0"/>
        <v>Electronics</v>
      </c>
      <c r="F31" s="1">
        <f t="shared" si="1"/>
        <v>3</v>
      </c>
      <c r="G31" s="1">
        <f t="shared" si="2"/>
        <v>35000</v>
      </c>
      <c r="H31" s="1">
        <f t="shared" si="3"/>
        <v>105000</v>
      </c>
      <c r="J31" s="1"/>
    </row>
    <row r="32" spans="1:10" x14ac:dyDescent="0.35">
      <c r="A32" s="1">
        <v>1020</v>
      </c>
      <c r="B32" s="1" t="s">
        <v>35</v>
      </c>
      <c r="C32" t="s">
        <v>7</v>
      </c>
      <c r="D32" t="s">
        <v>8</v>
      </c>
      <c r="E32" t="str">
        <f t="shared" si="0"/>
        <v>Electronics</v>
      </c>
      <c r="F32" s="1">
        <f t="shared" si="1"/>
        <v>2</v>
      </c>
      <c r="G32" s="1">
        <f t="shared" si="2"/>
        <v>50000</v>
      </c>
      <c r="H32" s="1">
        <f t="shared" si="3"/>
        <v>100000</v>
      </c>
    </row>
    <row r="33" spans="1:8" x14ac:dyDescent="0.35">
      <c r="A33" s="1">
        <v>1020</v>
      </c>
      <c r="B33" s="1" t="s">
        <v>36</v>
      </c>
      <c r="C33" t="s">
        <v>10</v>
      </c>
      <c r="D33" t="s">
        <v>11</v>
      </c>
      <c r="E33" t="str">
        <f t="shared" si="0"/>
        <v>Accessories</v>
      </c>
      <c r="F33" s="1">
        <f t="shared" si="1"/>
        <v>5</v>
      </c>
      <c r="G33" s="1">
        <f t="shared" si="2"/>
        <v>1500</v>
      </c>
      <c r="H33" s="1">
        <f t="shared" si="3"/>
        <v>7500</v>
      </c>
    </row>
    <row r="34" spans="1:8" x14ac:dyDescent="0.35">
      <c r="A34" s="1">
        <v>1020</v>
      </c>
      <c r="B34" s="1" t="s">
        <v>37</v>
      </c>
      <c r="C34" t="s">
        <v>13</v>
      </c>
      <c r="D34" t="s">
        <v>14</v>
      </c>
      <c r="E34" t="str">
        <f t="shared" si="0"/>
        <v>Accessories</v>
      </c>
      <c r="F34" s="1">
        <f t="shared" si="1"/>
        <v>3</v>
      </c>
      <c r="G34" s="1">
        <f t="shared" si="2"/>
        <v>3000</v>
      </c>
      <c r="H34" s="1">
        <f t="shared" si="3"/>
        <v>9000</v>
      </c>
    </row>
    <row r="35" spans="1:8" x14ac:dyDescent="0.35">
      <c r="A35" s="1">
        <v>1020</v>
      </c>
      <c r="B35" s="1" t="s">
        <v>38</v>
      </c>
      <c r="C35" t="s">
        <v>7</v>
      </c>
      <c r="D35" t="s">
        <v>15</v>
      </c>
      <c r="E35" t="str">
        <f t="shared" si="0"/>
        <v>Electronics</v>
      </c>
      <c r="F35" s="1">
        <f t="shared" si="1"/>
        <v>4</v>
      </c>
      <c r="G35" s="1">
        <f t="shared" si="2"/>
        <v>25000</v>
      </c>
      <c r="H35" s="1">
        <f t="shared" si="3"/>
        <v>100000</v>
      </c>
    </row>
    <row r="36" spans="1:8" x14ac:dyDescent="0.35">
      <c r="A36" s="1">
        <v>1020</v>
      </c>
      <c r="B36" s="1" t="s">
        <v>39</v>
      </c>
      <c r="C36" t="s">
        <v>10</v>
      </c>
      <c r="D36" t="s">
        <v>16</v>
      </c>
      <c r="E36" t="str">
        <f t="shared" si="0"/>
        <v>Electronics</v>
      </c>
      <c r="F36" s="1">
        <f t="shared" si="1"/>
        <v>1</v>
      </c>
      <c r="G36" s="1">
        <f t="shared" si="2"/>
        <v>35000</v>
      </c>
      <c r="H36" s="1">
        <f t="shared" si="3"/>
        <v>35000</v>
      </c>
    </row>
    <row r="37" spans="1:8" x14ac:dyDescent="0.35">
      <c r="A37" s="1">
        <v>1020</v>
      </c>
      <c r="B37" s="1" t="s">
        <v>40</v>
      </c>
      <c r="C37" t="s">
        <v>13</v>
      </c>
      <c r="D37" t="s">
        <v>8</v>
      </c>
      <c r="E37" t="str">
        <f t="shared" si="0"/>
        <v>Electronics</v>
      </c>
      <c r="F37" s="1">
        <f t="shared" si="1"/>
        <v>6</v>
      </c>
      <c r="G37" s="1">
        <f t="shared" si="2"/>
        <v>50000</v>
      </c>
      <c r="H37" s="1">
        <f t="shared" si="3"/>
        <v>300000</v>
      </c>
    </row>
    <row r="38" spans="1:8" x14ac:dyDescent="0.35">
      <c r="A38" s="1">
        <v>1020</v>
      </c>
      <c r="B38" s="1" t="s">
        <v>41</v>
      </c>
      <c r="C38" t="s">
        <v>7</v>
      </c>
      <c r="D38" t="s">
        <v>11</v>
      </c>
      <c r="E38" t="str">
        <f t="shared" si="0"/>
        <v>Accessories</v>
      </c>
      <c r="F38" s="1">
        <f t="shared" si="1"/>
        <v>8</v>
      </c>
      <c r="G38" s="1">
        <f t="shared" si="2"/>
        <v>1500</v>
      </c>
      <c r="H38" s="1">
        <f t="shared" si="3"/>
        <v>12000</v>
      </c>
    </row>
    <row r="39" spans="1:8" x14ac:dyDescent="0.35">
      <c r="A39" s="1">
        <v>1020</v>
      </c>
      <c r="B39" s="1" t="s">
        <v>42</v>
      </c>
      <c r="C39" t="s">
        <v>10</v>
      </c>
      <c r="D39" t="s">
        <v>14</v>
      </c>
      <c r="E39" t="str">
        <f t="shared" si="0"/>
        <v>Accessories</v>
      </c>
      <c r="F39" s="1">
        <f t="shared" si="1"/>
        <v>2</v>
      </c>
      <c r="G39" s="1">
        <f t="shared" si="2"/>
        <v>3000</v>
      </c>
      <c r="H39" s="1">
        <f t="shared" si="3"/>
        <v>6000</v>
      </c>
    </row>
    <row r="40" spans="1:8" x14ac:dyDescent="0.35">
      <c r="A40" s="1">
        <v>1020</v>
      </c>
      <c r="B40" s="1" t="s">
        <v>43</v>
      </c>
      <c r="C40" t="s">
        <v>13</v>
      </c>
      <c r="D40" t="s">
        <v>15</v>
      </c>
      <c r="E40" t="str">
        <f t="shared" si="0"/>
        <v>Electronics</v>
      </c>
      <c r="F40" s="1">
        <f t="shared" si="1"/>
        <v>5</v>
      </c>
      <c r="G40" s="1">
        <f t="shared" si="2"/>
        <v>25000</v>
      </c>
      <c r="H40" s="1">
        <f t="shared" si="3"/>
        <v>125000</v>
      </c>
    </row>
    <row r="41" spans="1:8" x14ac:dyDescent="0.35">
      <c r="A41" s="1">
        <v>1020</v>
      </c>
      <c r="B41" s="1" t="s">
        <v>44</v>
      </c>
      <c r="C41" t="s">
        <v>7</v>
      </c>
      <c r="D41" t="s">
        <v>16</v>
      </c>
      <c r="E41" t="str">
        <f t="shared" si="0"/>
        <v>Electronics</v>
      </c>
      <c r="F41" s="1">
        <f t="shared" si="1"/>
        <v>3</v>
      </c>
      <c r="G41" s="1">
        <f t="shared" si="2"/>
        <v>35000</v>
      </c>
      <c r="H41" s="1">
        <f t="shared" si="3"/>
        <v>105000</v>
      </c>
    </row>
    <row r="42" spans="1:8" x14ac:dyDescent="0.35">
      <c r="A42" s="1">
        <v>1020</v>
      </c>
      <c r="B42" s="1" t="s">
        <v>45</v>
      </c>
      <c r="C42" t="s">
        <v>10</v>
      </c>
      <c r="D42" t="s">
        <v>8</v>
      </c>
      <c r="E42" t="str">
        <f t="shared" si="0"/>
        <v>Electronics</v>
      </c>
      <c r="F42" s="1">
        <f t="shared" si="1"/>
        <v>2</v>
      </c>
      <c r="G42" s="1">
        <f t="shared" si="2"/>
        <v>50000</v>
      </c>
      <c r="H42" s="1">
        <f t="shared" si="3"/>
        <v>100000</v>
      </c>
    </row>
    <row r="43" spans="1:8" x14ac:dyDescent="0.35">
      <c r="A43" s="1">
        <v>1020</v>
      </c>
      <c r="B43" s="1" t="s">
        <v>46</v>
      </c>
      <c r="C43" t="s">
        <v>13</v>
      </c>
      <c r="D43" t="s">
        <v>11</v>
      </c>
      <c r="E43" t="str">
        <f t="shared" si="0"/>
        <v>Accessories</v>
      </c>
      <c r="F43" s="1">
        <f t="shared" si="1"/>
        <v>5</v>
      </c>
      <c r="G43" s="1">
        <f t="shared" si="2"/>
        <v>1500</v>
      </c>
      <c r="H43" s="1">
        <f t="shared" si="3"/>
        <v>7500</v>
      </c>
    </row>
    <row r="44" spans="1:8" x14ac:dyDescent="0.35">
      <c r="A44" s="1">
        <v>1020</v>
      </c>
      <c r="B44" s="1" t="s">
        <v>47</v>
      </c>
      <c r="C44" t="s">
        <v>7</v>
      </c>
      <c r="D44" t="s">
        <v>14</v>
      </c>
      <c r="E44" t="str">
        <f t="shared" si="0"/>
        <v>Accessories</v>
      </c>
      <c r="F44" s="1">
        <f t="shared" si="1"/>
        <v>3</v>
      </c>
      <c r="G44" s="1">
        <f t="shared" si="2"/>
        <v>3000</v>
      </c>
      <c r="H44" s="1">
        <f t="shared" si="3"/>
        <v>9000</v>
      </c>
    </row>
    <row r="45" spans="1:8" x14ac:dyDescent="0.35">
      <c r="A45" s="1">
        <v>1020</v>
      </c>
      <c r="B45" s="1" t="s">
        <v>48</v>
      </c>
      <c r="C45" t="s">
        <v>10</v>
      </c>
      <c r="D45" t="s">
        <v>15</v>
      </c>
      <c r="E45" t="str">
        <f t="shared" si="0"/>
        <v>Electronics</v>
      </c>
      <c r="F45" s="1">
        <f t="shared" si="1"/>
        <v>4</v>
      </c>
      <c r="G45" s="1">
        <f t="shared" si="2"/>
        <v>25000</v>
      </c>
      <c r="H45" s="1">
        <f t="shared" si="3"/>
        <v>100000</v>
      </c>
    </row>
    <row r="46" spans="1:8" x14ac:dyDescent="0.35">
      <c r="A46" s="1">
        <v>1020</v>
      </c>
      <c r="B46" s="1" t="s">
        <v>49</v>
      </c>
      <c r="C46" t="s">
        <v>13</v>
      </c>
      <c r="D46" t="s">
        <v>16</v>
      </c>
      <c r="E46" t="str">
        <f t="shared" si="0"/>
        <v>Electronics</v>
      </c>
      <c r="F46" s="1">
        <f t="shared" si="1"/>
        <v>1</v>
      </c>
      <c r="G46" s="1">
        <f t="shared" si="2"/>
        <v>35000</v>
      </c>
      <c r="H46" s="1">
        <f t="shared" si="3"/>
        <v>35000</v>
      </c>
    </row>
    <row r="47" spans="1:8" x14ac:dyDescent="0.35">
      <c r="A47" s="1">
        <v>1020</v>
      </c>
      <c r="B47" s="1" t="s">
        <v>50</v>
      </c>
      <c r="C47" t="s">
        <v>7</v>
      </c>
      <c r="D47" t="s">
        <v>8</v>
      </c>
      <c r="E47" t="str">
        <f t="shared" si="0"/>
        <v>Electronics</v>
      </c>
      <c r="F47" s="1">
        <f t="shared" si="1"/>
        <v>6</v>
      </c>
      <c r="G47" s="1">
        <f t="shared" si="2"/>
        <v>50000</v>
      </c>
      <c r="H47" s="1">
        <f t="shared" si="3"/>
        <v>300000</v>
      </c>
    </row>
    <row r="48" spans="1:8" x14ac:dyDescent="0.35">
      <c r="A48" s="1">
        <v>1020</v>
      </c>
      <c r="B48" s="1" t="s">
        <v>51</v>
      </c>
      <c r="C48" t="s">
        <v>10</v>
      </c>
      <c r="D48" t="s">
        <v>11</v>
      </c>
      <c r="E48" t="str">
        <f t="shared" si="0"/>
        <v>Accessories</v>
      </c>
      <c r="F48" s="1">
        <f t="shared" si="1"/>
        <v>8</v>
      </c>
      <c r="G48" s="1">
        <f t="shared" si="2"/>
        <v>1500</v>
      </c>
      <c r="H48" s="1">
        <f t="shared" si="3"/>
        <v>12000</v>
      </c>
    </row>
    <row r="49" spans="1:8" x14ac:dyDescent="0.35">
      <c r="A49" s="1">
        <v>1020</v>
      </c>
      <c r="B49" s="1" t="s">
        <v>52</v>
      </c>
      <c r="C49" t="s">
        <v>13</v>
      </c>
      <c r="D49" t="s">
        <v>14</v>
      </c>
      <c r="E49" t="str">
        <f t="shared" si="0"/>
        <v>Accessories</v>
      </c>
      <c r="F49" s="1">
        <f t="shared" si="1"/>
        <v>2</v>
      </c>
      <c r="G49" s="1">
        <f t="shared" si="2"/>
        <v>3000</v>
      </c>
      <c r="H49" s="1">
        <f t="shared" si="3"/>
        <v>6000</v>
      </c>
    </row>
    <row r="50" spans="1:8" x14ac:dyDescent="0.35">
      <c r="A50" s="1">
        <v>1020</v>
      </c>
      <c r="B50" s="1" t="s">
        <v>53</v>
      </c>
      <c r="C50" t="s">
        <v>7</v>
      </c>
      <c r="D50" t="s">
        <v>15</v>
      </c>
      <c r="E50" t="str">
        <f t="shared" si="0"/>
        <v>Electronics</v>
      </c>
      <c r="F50" s="1">
        <f t="shared" si="1"/>
        <v>5</v>
      </c>
      <c r="G50" s="1">
        <f t="shared" si="2"/>
        <v>25000</v>
      </c>
      <c r="H50" s="1">
        <f t="shared" si="3"/>
        <v>125000</v>
      </c>
    </row>
    <row r="51" spans="1:8" x14ac:dyDescent="0.35">
      <c r="A51" s="1">
        <v>1020</v>
      </c>
      <c r="B51" s="1" t="s">
        <v>54</v>
      </c>
      <c r="C51" t="s">
        <v>10</v>
      </c>
      <c r="D51" t="s">
        <v>16</v>
      </c>
      <c r="E51" t="str">
        <f t="shared" si="0"/>
        <v>Electronics</v>
      </c>
      <c r="F51" s="1">
        <f t="shared" si="1"/>
        <v>3</v>
      </c>
      <c r="G51" s="1">
        <f t="shared" si="2"/>
        <v>35000</v>
      </c>
      <c r="H51" s="1">
        <f t="shared" si="3"/>
        <v>105000</v>
      </c>
    </row>
    <row r="52" spans="1:8" x14ac:dyDescent="0.35">
      <c r="A52" s="1">
        <v>1020</v>
      </c>
      <c r="B52" s="1" t="s">
        <v>55</v>
      </c>
      <c r="C52" t="s">
        <v>13</v>
      </c>
      <c r="D52" t="s">
        <v>8</v>
      </c>
      <c r="E52" t="str">
        <f t="shared" si="0"/>
        <v>Electronics</v>
      </c>
      <c r="F52" s="1">
        <f t="shared" si="1"/>
        <v>2</v>
      </c>
      <c r="G52" s="1">
        <f t="shared" si="2"/>
        <v>50000</v>
      </c>
      <c r="H52" s="1">
        <f t="shared" si="3"/>
        <v>100000</v>
      </c>
    </row>
    <row r="53" spans="1:8" x14ac:dyDescent="0.35">
      <c r="A53" s="1">
        <v>1020</v>
      </c>
      <c r="B53" s="1" t="s">
        <v>56</v>
      </c>
      <c r="C53" t="s">
        <v>7</v>
      </c>
      <c r="D53" t="s">
        <v>11</v>
      </c>
      <c r="E53" t="str">
        <f t="shared" si="0"/>
        <v>Accessories</v>
      </c>
      <c r="F53" s="1">
        <f t="shared" si="1"/>
        <v>5</v>
      </c>
      <c r="G53" s="1">
        <f t="shared" si="2"/>
        <v>1500</v>
      </c>
      <c r="H53" s="1">
        <f t="shared" si="3"/>
        <v>7500</v>
      </c>
    </row>
    <row r="54" spans="1:8" x14ac:dyDescent="0.35">
      <c r="A54" s="1">
        <v>1020</v>
      </c>
      <c r="B54" s="1" t="s">
        <v>57</v>
      </c>
      <c r="C54" t="s">
        <v>10</v>
      </c>
      <c r="D54" t="s">
        <v>14</v>
      </c>
      <c r="E54" t="str">
        <f t="shared" si="0"/>
        <v>Accessories</v>
      </c>
      <c r="F54" s="1">
        <f t="shared" si="1"/>
        <v>3</v>
      </c>
      <c r="G54" s="1">
        <f t="shared" si="2"/>
        <v>3000</v>
      </c>
      <c r="H54" s="1">
        <f t="shared" si="3"/>
        <v>9000</v>
      </c>
    </row>
    <row r="55" spans="1:8" x14ac:dyDescent="0.35">
      <c r="A55" s="1">
        <v>1020</v>
      </c>
      <c r="B55" s="1" t="s">
        <v>58</v>
      </c>
      <c r="C55" t="s">
        <v>13</v>
      </c>
      <c r="D55" t="s">
        <v>15</v>
      </c>
      <c r="E55" t="str">
        <f t="shared" si="0"/>
        <v>Electronics</v>
      </c>
      <c r="F55" s="1">
        <f t="shared" si="1"/>
        <v>4</v>
      </c>
      <c r="G55" s="1">
        <f t="shared" si="2"/>
        <v>25000</v>
      </c>
      <c r="H55" s="1">
        <f t="shared" si="3"/>
        <v>100000</v>
      </c>
    </row>
    <row r="56" spans="1:8" x14ac:dyDescent="0.35">
      <c r="A56" s="1">
        <v>1020</v>
      </c>
      <c r="B56" s="1" t="s">
        <v>59</v>
      </c>
      <c r="C56" t="s">
        <v>7</v>
      </c>
      <c r="D56" t="s">
        <v>16</v>
      </c>
      <c r="E56" t="str">
        <f t="shared" si="0"/>
        <v>Electronics</v>
      </c>
      <c r="F56" s="1">
        <f t="shared" si="1"/>
        <v>1</v>
      </c>
      <c r="G56" s="1">
        <f t="shared" si="2"/>
        <v>35000</v>
      </c>
      <c r="H56" s="1">
        <f t="shared" si="3"/>
        <v>35000</v>
      </c>
    </row>
    <row r="57" spans="1:8" x14ac:dyDescent="0.35">
      <c r="A57" s="1">
        <v>1020</v>
      </c>
      <c r="B57" s="1" t="s">
        <v>60</v>
      </c>
      <c r="C57" t="s">
        <v>10</v>
      </c>
      <c r="D57" t="s">
        <v>8</v>
      </c>
      <c r="E57" t="str">
        <f t="shared" si="0"/>
        <v>Electronics</v>
      </c>
      <c r="F57" s="1">
        <f t="shared" si="1"/>
        <v>6</v>
      </c>
      <c r="G57" s="1">
        <f t="shared" si="2"/>
        <v>50000</v>
      </c>
      <c r="H57" s="1">
        <f t="shared" si="3"/>
        <v>300000</v>
      </c>
    </row>
    <row r="58" spans="1:8" x14ac:dyDescent="0.35">
      <c r="A58" s="1">
        <v>1020</v>
      </c>
      <c r="B58" s="1" t="s">
        <v>61</v>
      </c>
      <c r="C58" t="s">
        <v>13</v>
      </c>
      <c r="D58" t="s">
        <v>11</v>
      </c>
      <c r="E58" t="str">
        <f t="shared" si="0"/>
        <v>Accessories</v>
      </c>
      <c r="F58" s="1">
        <f t="shared" si="1"/>
        <v>8</v>
      </c>
      <c r="G58" s="1">
        <f t="shared" si="2"/>
        <v>1500</v>
      </c>
      <c r="H58" s="1">
        <f t="shared" si="3"/>
        <v>12000</v>
      </c>
    </row>
    <row r="59" spans="1:8" x14ac:dyDescent="0.35">
      <c r="A59" s="1">
        <v>1020</v>
      </c>
      <c r="B59" s="1" t="s">
        <v>62</v>
      </c>
      <c r="C59" t="s">
        <v>7</v>
      </c>
      <c r="D59" t="s">
        <v>14</v>
      </c>
      <c r="E59" t="str">
        <f t="shared" si="0"/>
        <v>Accessories</v>
      </c>
      <c r="F59" s="1">
        <f t="shared" si="1"/>
        <v>2</v>
      </c>
      <c r="G59" s="1">
        <f t="shared" si="2"/>
        <v>3000</v>
      </c>
      <c r="H59" s="1">
        <f t="shared" si="3"/>
        <v>6000</v>
      </c>
    </row>
    <row r="60" spans="1:8" x14ac:dyDescent="0.35">
      <c r="A60" s="1">
        <v>1020</v>
      </c>
      <c r="B60" s="1" t="s">
        <v>63</v>
      </c>
      <c r="C60" t="s">
        <v>10</v>
      </c>
      <c r="D60" t="s">
        <v>15</v>
      </c>
      <c r="E60" t="str">
        <f t="shared" si="0"/>
        <v>Electronics</v>
      </c>
      <c r="F60" s="1">
        <f t="shared" si="1"/>
        <v>5</v>
      </c>
      <c r="G60" s="1">
        <f t="shared" si="2"/>
        <v>25000</v>
      </c>
      <c r="H60" s="1">
        <f t="shared" si="3"/>
        <v>125000</v>
      </c>
    </row>
    <row r="61" spans="1:8" x14ac:dyDescent="0.35">
      <c r="A61" s="1">
        <v>1020</v>
      </c>
      <c r="B61" s="1" t="s">
        <v>64</v>
      </c>
      <c r="C61" t="s">
        <v>13</v>
      </c>
      <c r="D61" t="s">
        <v>16</v>
      </c>
      <c r="E61" t="str">
        <f t="shared" si="0"/>
        <v>Electronics</v>
      </c>
      <c r="F61" s="1">
        <f t="shared" si="1"/>
        <v>3</v>
      </c>
      <c r="G61" s="1">
        <f t="shared" si="2"/>
        <v>35000</v>
      </c>
      <c r="H61" s="1">
        <f t="shared" si="3"/>
        <v>105000</v>
      </c>
    </row>
    <row r="62" spans="1:8" x14ac:dyDescent="0.35">
      <c r="A62" s="1">
        <v>1020</v>
      </c>
      <c r="B62" s="1" t="s">
        <v>65</v>
      </c>
      <c r="C62" t="s">
        <v>7</v>
      </c>
      <c r="D62" t="s">
        <v>8</v>
      </c>
      <c r="E62" t="str">
        <f t="shared" si="0"/>
        <v>Electronics</v>
      </c>
      <c r="F62" s="1">
        <f t="shared" si="1"/>
        <v>2</v>
      </c>
      <c r="G62" s="1">
        <f t="shared" si="2"/>
        <v>50000</v>
      </c>
      <c r="H62" s="1">
        <f t="shared" si="3"/>
        <v>100000</v>
      </c>
    </row>
    <row r="63" spans="1:8" x14ac:dyDescent="0.35">
      <c r="A63" s="1">
        <v>1020</v>
      </c>
      <c r="B63" s="1" t="s">
        <v>66</v>
      </c>
      <c r="C63" t="s">
        <v>10</v>
      </c>
      <c r="D63" t="s">
        <v>11</v>
      </c>
      <c r="E63" t="str">
        <f t="shared" si="0"/>
        <v>Accessories</v>
      </c>
      <c r="F63" s="1">
        <f t="shared" si="1"/>
        <v>5</v>
      </c>
      <c r="G63" s="1">
        <f t="shared" si="2"/>
        <v>1500</v>
      </c>
      <c r="H63" s="1">
        <f t="shared" si="3"/>
        <v>7500</v>
      </c>
    </row>
    <row r="64" spans="1:8" x14ac:dyDescent="0.35">
      <c r="A64" s="1">
        <v>1020</v>
      </c>
      <c r="B64" s="1" t="s">
        <v>67</v>
      </c>
      <c r="C64" t="s">
        <v>13</v>
      </c>
      <c r="D64" t="s">
        <v>14</v>
      </c>
      <c r="E64" t="str">
        <f t="shared" si="0"/>
        <v>Accessories</v>
      </c>
      <c r="F64" s="1">
        <f t="shared" si="1"/>
        <v>3</v>
      </c>
      <c r="G64" s="1">
        <f t="shared" si="2"/>
        <v>3000</v>
      </c>
      <c r="H64" s="1">
        <f t="shared" si="3"/>
        <v>9000</v>
      </c>
    </row>
    <row r="65" spans="1:8" x14ac:dyDescent="0.35">
      <c r="A65" s="1">
        <v>1020</v>
      </c>
      <c r="B65" s="1" t="s">
        <v>68</v>
      </c>
      <c r="C65" t="s">
        <v>7</v>
      </c>
      <c r="D65" t="s">
        <v>15</v>
      </c>
      <c r="E65" t="str">
        <f t="shared" si="0"/>
        <v>Electronics</v>
      </c>
      <c r="F65" s="1">
        <f t="shared" si="1"/>
        <v>4</v>
      </c>
      <c r="G65" s="1">
        <f t="shared" si="2"/>
        <v>25000</v>
      </c>
      <c r="H65" s="1">
        <f t="shared" si="3"/>
        <v>100000</v>
      </c>
    </row>
    <row r="66" spans="1:8" x14ac:dyDescent="0.35">
      <c r="A66" s="1">
        <v>1020</v>
      </c>
      <c r="B66" s="1" t="s">
        <v>69</v>
      </c>
      <c r="C66" t="s">
        <v>10</v>
      </c>
      <c r="D66" t="s">
        <v>16</v>
      </c>
      <c r="E66" t="str">
        <f t="shared" si="0"/>
        <v>Electronics</v>
      </c>
      <c r="F66" s="1">
        <f t="shared" si="1"/>
        <v>1</v>
      </c>
      <c r="G66" s="1">
        <f t="shared" si="2"/>
        <v>35000</v>
      </c>
      <c r="H66" s="1">
        <f t="shared" si="3"/>
        <v>35000</v>
      </c>
    </row>
    <row r="67" spans="1:8" x14ac:dyDescent="0.35">
      <c r="A67" s="1">
        <v>1020</v>
      </c>
      <c r="B67" s="1" t="s">
        <v>70</v>
      </c>
      <c r="C67" t="s">
        <v>13</v>
      </c>
      <c r="D67" t="s">
        <v>8</v>
      </c>
      <c r="E67" t="str">
        <f t="shared" ref="E67:E100" si="4">IF(OR(D67="Laptop",D67="Monitor",D67="printer"),"Electronics","Accessories")</f>
        <v>Electronics</v>
      </c>
      <c r="F67" s="1">
        <f t="shared" ref="F67:F100" si="5">CHOOSE(MOD(ROW()-2,10)+1,2,5,3,4,1,6,8,2,5,3)</f>
        <v>6</v>
      </c>
      <c r="G67" s="1">
        <f t="shared" ref="G67:G100" si="6">IF(D67="Laptop",50000,IF(D67="Mouse",1500,IF(D67="Keyboard",3000,IF(D67="Monitor",25000,35000))))</f>
        <v>50000</v>
      </c>
      <c r="H67" s="1">
        <f t="shared" ref="H67:H100" si="7">F67*G67</f>
        <v>300000</v>
      </c>
    </row>
    <row r="68" spans="1:8" x14ac:dyDescent="0.35">
      <c r="A68" s="1">
        <v>1020</v>
      </c>
      <c r="B68" s="1" t="s">
        <v>71</v>
      </c>
      <c r="C68" t="s">
        <v>7</v>
      </c>
      <c r="D68" t="s">
        <v>11</v>
      </c>
      <c r="E68" t="str">
        <f t="shared" si="4"/>
        <v>Accessories</v>
      </c>
      <c r="F68" s="1">
        <f t="shared" si="5"/>
        <v>8</v>
      </c>
      <c r="G68" s="1">
        <f t="shared" si="6"/>
        <v>1500</v>
      </c>
      <c r="H68" s="1">
        <f t="shared" si="7"/>
        <v>12000</v>
      </c>
    </row>
    <row r="69" spans="1:8" x14ac:dyDescent="0.35">
      <c r="A69" s="1">
        <v>1020</v>
      </c>
      <c r="B69" s="1" t="s">
        <v>72</v>
      </c>
      <c r="C69" t="s">
        <v>10</v>
      </c>
      <c r="D69" t="s">
        <v>14</v>
      </c>
      <c r="E69" t="str">
        <f t="shared" si="4"/>
        <v>Accessories</v>
      </c>
      <c r="F69" s="1">
        <f t="shared" si="5"/>
        <v>2</v>
      </c>
      <c r="G69" s="1">
        <f t="shared" si="6"/>
        <v>3000</v>
      </c>
      <c r="H69" s="1">
        <f t="shared" si="7"/>
        <v>6000</v>
      </c>
    </row>
    <row r="70" spans="1:8" x14ac:dyDescent="0.35">
      <c r="A70" s="1">
        <v>1020</v>
      </c>
      <c r="B70" s="1" t="s">
        <v>73</v>
      </c>
      <c r="C70" t="s">
        <v>13</v>
      </c>
      <c r="D70" t="s">
        <v>15</v>
      </c>
      <c r="E70" t="str">
        <f t="shared" si="4"/>
        <v>Electronics</v>
      </c>
      <c r="F70" s="1">
        <f t="shared" si="5"/>
        <v>5</v>
      </c>
      <c r="G70" s="1">
        <f t="shared" si="6"/>
        <v>25000</v>
      </c>
      <c r="H70" s="1">
        <f t="shared" si="7"/>
        <v>125000</v>
      </c>
    </row>
    <row r="71" spans="1:8" x14ac:dyDescent="0.35">
      <c r="A71" s="1">
        <v>1020</v>
      </c>
      <c r="B71" s="1" t="s">
        <v>74</v>
      </c>
      <c r="C71" t="s">
        <v>7</v>
      </c>
      <c r="D71" t="s">
        <v>16</v>
      </c>
      <c r="E71" t="str">
        <f t="shared" si="4"/>
        <v>Electronics</v>
      </c>
      <c r="F71" s="1">
        <f t="shared" si="5"/>
        <v>3</v>
      </c>
      <c r="G71" s="1">
        <f t="shared" si="6"/>
        <v>35000</v>
      </c>
      <c r="H71" s="1">
        <f t="shared" si="7"/>
        <v>105000</v>
      </c>
    </row>
    <row r="72" spans="1:8" x14ac:dyDescent="0.35">
      <c r="A72" s="1">
        <v>1020</v>
      </c>
      <c r="B72" s="1" t="s">
        <v>75</v>
      </c>
      <c r="C72" t="s">
        <v>10</v>
      </c>
      <c r="D72" t="s">
        <v>8</v>
      </c>
      <c r="E72" t="str">
        <f t="shared" si="4"/>
        <v>Electronics</v>
      </c>
      <c r="F72" s="1">
        <f t="shared" si="5"/>
        <v>2</v>
      </c>
      <c r="G72" s="1">
        <f t="shared" si="6"/>
        <v>50000</v>
      </c>
      <c r="H72" s="1">
        <f t="shared" si="7"/>
        <v>100000</v>
      </c>
    </row>
    <row r="73" spans="1:8" x14ac:dyDescent="0.35">
      <c r="A73" s="1">
        <v>1020</v>
      </c>
      <c r="B73" s="1" t="s">
        <v>76</v>
      </c>
      <c r="C73" t="s">
        <v>13</v>
      </c>
      <c r="D73" t="s">
        <v>11</v>
      </c>
      <c r="E73" t="str">
        <f t="shared" si="4"/>
        <v>Accessories</v>
      </c>
      <c r="F73" s="1">
        <f t="shared" si="5"/>
        <v>5</v>
      </c>
      <c r="G73" s="1">
        <f t="shared" si="6"/>
        <v>1500</v>
      </c>
      <c r="H73" s="1">
        <f t="shared" si="7"/>
        <v>7500</v>
      </c>
    </row>
    <row r="74" spans="1:8" x14ac:dyDescent="0.35">
      <c r="A74" s="1">
        <v>1020</v>
      </c>
      <c r="B74" s="1" t="s">
        <v>77</v>
      </c>
      <c r="C74" t="s">
        <v>7</v>
      </c>
      <c r="D74" t="s">
        <v>14</v>
      </c>
      <c r="E74" t="str">
        <f t="shared" si="4"/>
        <v>Accessories</v>
      </c>
      <c r="F74" s="1">
        <f t="shared" si="5"/>
        <v>3</v>
      </c>
      <c r="G74" s="1">
        <f t="shared" si="6"/>
        <v>3000</v>
      </c>
      <c r="H74" s="1">
        <f t="shared" si="7"/>
        <v>9000</v>
      </c>
    </row>
    <row r="75" spans="1:8" x14ac:dyDescent="0.35">
      <c r="A75" s="1">
        <v>1020</v>
      </c>
      <c r="B75" s="1" t="s">
        <v>78</v>
      </c>
      <c r="C75" t="s">
        <v>10</v>
      </c>
      <c r="D75" t="s">
        <v>15</v>
      </c>
      <c r="E75" t="str">
        <f t="shared" si="4"/>
        <v>Electronics</v>
      </c>
      <c r="F75" s="1">
        <f t="shared" si="5"/>
        <v>4</v>
      </c>
      <c r="G75" s="1">
        <f t="shared" si="6"/>
        <v>25000</v>
      </c>
      <c r="H75" s="1">
        <f t="shared" si="7"/>
        <v>100000</v>
      </c>
    </row>
    <row r="76" spans="1:8" x14ac:dyDescent="0.35">
      <c r="A76" s="1">
        <v>1020</v>
      </c>
      <c r="B76" s="1" t="s">
        <v>79</v>
      </c>
      <c r="C76" t="s">
        <v>13</v>
      </c>
      <c r="D76" t="s">
        <v>16</v>
      </c>
      <c r="E76" t="str">
        <f t="shared" si="4"/>
        <v>Electronics</v>
      </c>
      <c r="F76" s="1">
        <f t="shared" si="5"/>
        <v>1</v>
      </c>
      <c r="G76" s="1">
        <f t="shared" si="6"/>
        <v>35000</v>
      </c>
      <c r="H76" s="1">
        <f t="shared" si="7"/>
        <v>35000</v>
      </c>
    </row>
    <row r="77" spans="1:8" x14ac:dyDescent="0.35">
      <c r="A77" s="1">
        <v>1020</v>
      </c>
      <c r="B77" s="1" t="s">
        <v>80</v>
      </c>
      <c r="C77" t="s">
        <v>7</v>
      </c>
      <c r="D77" t="s">
        <v>8</v>
      </c>
      <c r="E77" t="str">
        <f t="shared" si="4"/>
        <v>Electronics</v>
      </c>
      <c r="F77" s="1">
        <f t="shared" si="5"/>
        <v>6</v>
      </c>
      <c r="G77" s="1">
        <f t="shared" si="6"/>
        <v>50000</v>
      </c>
      <c r="H77" s="1">
        <f t="shared" si="7"/>
        <v>300000</v>
      </c>
    </row>
    <row r="78" spans="1:8" x14ac:dyDescent="0.35">
      <c r="A78" s="1">
        <v>1020</v>
      </c>
      <c r="B78" s="1" t="s">
        <v>81</v>
      </c>
      <c r="C78" t="s">
        <v>10</v>
      </c>
      <c r="D78" t="s">
        <v>11</v>
      </c>
      <c r="E78" t="str">
        <f t="shared" si="4"/>
        <v>Accessories</v>
      </c>
      <c r="F78" s="1">
        <f t="shared" si="5"/>
        <v>8</v>
      </c>
      <c r="G78" s="1">
        <f t="shared" si="6"/>
        <v>1500</v>
      </c>
      <c r="H78" s="1">
        <f t="shared" si="7"/>
        <v>12000</v>
      </c>
    </row>
    <row r="79" spans="1:8" x14ac:dyDescent="0.35">
      <c r="A79" s="1">
        <v>1020</v>
      </c>
      <c r="B79" s="1" t="s">
        <v>82</v>
      </c>
      <c r="C79" t="s">
        <v>13</v>
      </c>
      <c r="D79" t="s">
        <v>14</v>
      </c>
      <c r="E79" t="str">
        <f t="shared" si="4"/>
        <v>Accessories</v>
      </c>
      <c r="F79" s="1">
        <f t="shared" si="5"/>
        <v>2</v>
      </c>
      <c r="G79" s="1">
        <f t="shared" si="6"/>
        <v>3000</v>
      </c>
      <c r="H79" s="1">
        <f t="shared" si="7"/>
        <v>6000</v>
      </c>
    </row>
    <row r="80" spans="1:8" x14ac:dyDescent="0.35">
      <c r="A80" s="1">
        <v>1020</v>
      </c>
      <c r="B80" s="1" t="s">
        <v>83</v>
      </c>
      <c r="C80" t="s">
        <v>7</v>
      </c>
      <c r="D80" t="s">
        <v>15</v>
      </c>
      <c r="E80" t="str">
        <f t="shared" si="4"/>
        <v>Electronics</v>
      </c>
      <c r="F80" s="1">
        <f t="shared" si="5"/>
        <v>5</v>
      </c>
      <c r="G80" s="1">
        <f t="shared" si="6"/>
        <v>25000</v>
      </c>
      <c r="H80" s="1">
        <f t="shared" si="7"/>
        <v>125000</v>
      </c>
    </row>
    <row r="81" spans="1:8" x14ac:dyDescent="0.35">
      <c r="A81" s="1">
        <v>1020</v>
      </c>
      <c r="B81" s="1" t="s">
        <v>84</v>
      </c>
      <c r="C81" t="s">
        <v>10</v>
      </c>
      <c r="D81" t="s">
        <v>16</v>
      </c>
      <c r="E81" t="str">
        <f t="shared" si="4"/>
        <v>Electronics</v>
      </c>
      <c r="F81" s="1">
        <f t="shared" si="5"/>
        <v>3</v>
      </c>
      <c r="G81" s="1">
        <f t="shared" si="6"/>
        <v>35000</v>
      </c>
      <c r="H81" s="1">
        <f t="shared" si="7"/>
        <v>105000</v>
      </c>
    </row>
    <row r="82" spans="1:8" x14ac:dyDescent="0.35">
      <c r="A82" s="1">
        <v>1020</v>
      </c>
      <c r="B82" s="1" t="s">
        <v>85</v>
      </c>
      <c r="C82" t="s">
        <v>13</v>
      </c>
      <c r="D82" t="s">
        <v>8</v>
      </c>
      <c r="E82" t="str">
        <f t="shared" si="4"/>
        <v>Electronics</v>
      </c>
      <c r="F82" s="1">
        <f t="shared" si="5"/>
        <v>2</v>
      </c>
      <c r="G82" s="1">
        <f t="shared" si="6"/>
        <v>50000</v>
      </c>
      <c r="H82" s="1">
        <f t="shared" si="7"/>
        <v>100000</v>
      </c>
    </row>
    <row r="83" spans="1:8" x14ac:dyDescent="0.35">
      <c r="A83" s="1">
        <v>1020</v>
      </c>
      <c r="B83" s="1" t="s">
        <v>86</v>
      </c>
      <c r="C83" t="s">
        <v>7</v>
      </c>
      <c r="D83" t="s">
        <v>11</v>
      </c>
      <c r="E83" t="str">
        <f t="shared" si="4"/>
        <v>Accessories</v>
      </c>
      <c r="F83" s="1">
        <f t="shared" si="5"/>
        <v>5</v>
      </c>
      <c r="G83" s="1">
        <f t="shared" si="6"/>
        <v>1500</v>
      </c>
      <c r="H83" s="1">
        <f t="shared" si="7"/>
        <v>7500</v>
      </c>
    </row>
    <row r="84" spans="1:8" x14ac:dyDescent="0.35">
      <c r="A84" s="1">
        <v>1020</v>
      </c>
      <c r="B84" s="1" t="s">
        <v>87</v>
      </c>
      <c r="C84" t="s">
        <v>10</v>
      </c>
      <c r="D84" t="s">
        <v>14</v>
      </c>
      <c r="E84" t="str">
        <f t="shared" si="4"/>
        <v>Accessories</v>
      </c>
      <c r="F84" s="1">
        <f t="shared" si="5"/>
        <v>3</v>
      </c>
      <c r="G84" s="1">
        <f t="shared" si="6"/>
        <v>3000</v>
      </c>
      <c r="H84" s="1">
        <f t="shared" si="7"/>
        <v>9000</v>
      </c>
    </row>
    <row r="85" spans="1:8" x14ac:dyDescent="0.35">
      <c r="A85" s="1">
        <v>1020</v>
      </c>
      <c r="B85" s="1" t="s">
        <v>88</v>
      </c>
      <c r="C85" t="s">
        <v>13</v>
      </c>
      <c r="D85" t="s">
        <v>15</v>
      </c>
      <c r="E85" t="str">
        <f t="shared" si="4"/>
        <v>Electronics</v>
      </c>
      <c r="F85" s="1">
        <f t="shared" si="5"/>
        <v>4</v>
      </c>
      <c r="G85" s="1">
        <f t="shared" si="6"/>
        <v>25000</v>
      </c>
      <c r="H85" s="1">
        <f t="shared" si="7"/>
        <v>100000</v>
      </c>
    </row>
    <row r="86" spans="1:8" x14ac:dyDescent="0.35">
      <c r="A86" s="1">
        <v>1020</v>
      </c>
      <c r="B86" s="1" t="s">
        <v>89</v>
      </c>
      <c r="C86" t="s">
        <v>7</v>
      </c>
      <c r="D86" t="s">
        <v>16</v>
      </c>
      <c r="E86" t="str">
        <f t="shared" si="4"/>
        <v>Electronics</v>
      </c>
      <c r="F86" s="1">
        <f t="shared" si="5"/>
        <v>1</v>
      </c>
      <c r="G86" s="1">
        <f t="shared" si="6"/>
        <v>35000</v>
      </c>
      <c r="H86" s="1">
        <f t="shared" si="7"/>
        <v>35000</v>
      </c>
    </row>
    <row r="87" spans="1:8" x14ac:dyDescent="0.35">
      <c r="A87" s="1">
        <v>1020</v>
      </c>
      <c r="B87" s="1" t="s">
        <v>90</v>
      </c>
      <c r="C87" t="s">
        <v>10</v>
      </c>
      <c r="D87" t="s">
        <v>8</v>
      </c>
      <c r="E87" t="str">
        <f t="shared" si="4"/>
        <v>Electronics</v>
      </c>
      <c r="F87" s="1">
        <f t="shared" si="5"/>
        <v>6</v>
      </c>
      <c r="G87" s="1">
        <f t="shared" si="6"/>
        <v>50000</v>
      </c>
      <c r="H87" s="1">
        <f t="shared" si="7"/>
        <v>300000</v>
      </c>
    </row>
    <row r="88" spans="1:8" x14ac:dyDescent="0.35">
      <c r="A88" s="1">
        <v>1020</v>
      </c>
      <c r="B88" s="1" t="s">
        <v>91</v>
      </c>
      <c r="C88" t="s">
        <v>13</v>
      </c>
      <c r="D88" t="s">
        <v>11</v>
      </c>
      <c r="E88" t="str">
        <f t="shared" si="4"/>
        <v>Accessories</v>
      </c>
      <c r="F88" s="1">
        <f t="shared" si="5"/>
        <v>8</v>
      </c>
      <c r="G88" s="1">
        <f t="shared" si="6"/>
        <v>1500</v>
      </c>
      <c r="H88" s="1">
        <f t="shared" si="7"/>
        <v>12000</v>
      </c>
    </row>
    <row r="89" spans="1:8" x14ac:dyDescent="0.35">
      <c r="A89" s="1">
        <v>1020</v>
      </c>
      <c r="B89" s="1" t="s">
        <v>92</v>
      </c>
      <c r="C89" t="s">
        <v>7</v>
      </c>
      <c r="D89" t="s">
        <v>14</v>
      </c>
      <c r="E89" t="str">
        <f t="shared" si="4"/>
        <v>Accessories</v>
      </c>
      <c r="F89" s="1">
        <f t="shared" si="5"/>
        <v>2</v>
      </c>
      <c r="G89" s="1">
        <f t="shared" si="6"/>
        <v>3000</v>
      </c>
      <c r="H89" s="1">
        <f t="shared" si="7"/>
        <v>6000</v>
      </c>
    </row>
    <row r="90" spans="1:8" x14ac:dyDescent="0.35">
      <c r="A90" s="1">
        <v>1020</v>
      </c>
      <c r="B90" s="1" t="s">
        <v>93</v>
      </c>
      <c r="C90" t="s">
        <v>10</v>
      </c>
      <c r="D90" t="s">
        <v>15</v>
      </c>
      <c r="E90" t="str">
        <f t="shared" si="4"/>
        <v>Electronics</v>
      </c>
      <c r="F90" s="1">
        <f t="shared" si="5"/>
        <v>5</v>
      </c>
      <c r="G90" s="1">
        <f t="shared" si="6"/>
        <v>25000</v>
      </c>
      <c r="H90" s="1">
        <f t="shared" si="7"/>
        <v>125000</v>
      </c>
    </row>
    <row r="91" spans="1:8" x14ac:dyDescent="0.35">
      <c r="A91" s="1">
        <v>1020</v>
      </c>
      <c r="B91" s="1" t="s">
        <v>94</v>
      </c>
      <c r="C91" t="s">
        <v>13</v>
      </c>
      <c r="D91" t="s">
        <v>16</v>
      </c>
      <c r="E91" t="str">
        <f t="shared" si="4"/>
        <v>Electronics</v>
      </c>
      <c r="F91" s="1">
        <f t="shared" si="5"/>
        <v>3</v>
      </c>
      <c r="G91" s="1">
        <f t="shared" si="6"/>
        <v>35000</v>
      </c>
      <c r="H91" s="1">
        <f t="shared" si="7"/>
        <v>105000</v>
      </c>
    </row>
    <row r="92" spans="1:8" x14ac:dyDescent="0.35">
      <c r="A92" s="1">
        <v>1020</v>
      </c>
      <c r="B92" s="1" t="s">
        <v>95</v>
      </c>
      <c r="C92" t="s">
        <v>7</v>
      </c>
      <c r="D92" t="s">
        <v>8</v>
      </c>
      <c r="E92" t="str">
        <f t="shared" si="4"/>
        <v>Electronics</v>
      </c>
      <c r="F92" s="1">
        <f t="shared" si="5"/>
        <v>2</v>
      </c>
      <c r="G92" s="1">
        <f t="shared" si="6"/>
        <v>50000</v>
      </c>
      <c r="H92" s="1">
        <f t="shared" si="7"/>
        <v>100000</v>
      </c>
    </row>
    <row r="93" spans="1:8" x14ac:dyDescent="0.35">
      <c r="A93" s="1">
        <v>1020</v>
      </c>
      <c r="B93" s="1" t="s">
        <v>96</v>
      </c>
      <c r="C93" t="s">
        <v>10</v>
      </c>
      <c r="D93" t="s">
        <v>11</v>
      </c>
      <c r="E93" t="str">
        <f t="shared" si="4"/>
        <v>Accessories</v>
      </c>
      <c r="F93" s="1">
        <f t="shared" si="5"/>
        <v>5</v>
      </c>
      <c r="G93" s="1">
        <f t="shared" si="6"/>
        <v>1500</v>
      </c>
      <c r="H93" s="1">
        <f t="shared" si="7"/>
        <v>7500</v>
      </c>
    </row>
    <row r="94" spans="1:8" x14ac:dyDescent="0.35">
      <c r="A94" s="1">
        <v>1020</v>
      </c>
      <c r="B94" s="1" t="s">
        <v>97</v>
      </c>
      <c r="C94" t="s">
        <v>13</v>
      </c>
      <c r="D94" t="s">
        <v>14</v>
      </c>
      <c r="E94" t="str">
        <f t="shared" si="4"/>
        <v>Accessories</v>
      </c>
      <c r="F94" s="1">
        <f t="shared" si="5"/>
        <v>3</v>
      </c>
      <c r="G94" s="1">
        <f t="shared" si="6"/>
        <v>3000</v>
      </c>
      <c r="H94" s="1">
        <f t="shared" si="7"/>
        <v>9000</v>
      </c>
    </row>
    <row r="95" spans="1:8" x14ac:dyDescent="0.35">
      <c r="A95" s="1">
        <v>1020</v>
      </c>
      <c r="B95" s="1" t="s">
        <v>98</v>
      </c>
      <c r="C95" t="s">
        <v>7</v>
      </c>
      <c r="D95" t="s">
        <v>15</v>
      </c>
      <c r="E95" t="str">
        <f t="shared" si="4"/>
        <v>Electronics</v>
      </c>
      <c r="F95" s="1">
        <f t="shared" si="5"/>
        <v>4</v>
      </c>
      <c r="G95" s="1">
        <f t="shared" si="6"/>
        <v>25000</v>
      </c>
      <c r="H95" s="1">
        <f t="shared" si="7"/>
        <v>100000</v>
      </c>
    </row>
    <row r="96" spans="1:8" x14ac:dyDescent="0.35">
      <c r="A96" s="1">
        <v>1020</v>
      </c>
      <c r="B96" s="1" t="s">
        <v>99</v>
      </c>
      <c r="C96" t="s">
        <v>10</v>
      </c>
      <c r="D96" t="s">
        <v>16</v>
      </c>
      <c r="E96" t="str">
        <f t="shared" si="4"/>
        <v>Electronics</v>
      </c>
      <c r="F96" s="1">
        <f t="shared" si="5"/>
        <v>1</v>
      </c>
      <c r="G96" s="1">
        <f t="shared" si="6"/>
        <v>35000</v>
      </c>
      <c r="H96" s="1">
        <f t="shared" si="7"/>
        <v>35000</v>
      </c>
    </row>
    <row r="97" spans="1:8" x14ac:dyDescent="0.35">
      <c r="A97" s="1">
        <v>1020</v>
      </c>
      <c r="B97" s="1" t="s">
        <v>100</v>
      </c>
      <c r="C97" t="s">
        <v>13</v>
      </c>
      <c r="D97" t="s">
        <v>8</v>
      </c>
      <c r="E97" t="str">
        <f t="shared" si="4"/>
        <v>Electronics</v>
      </c>
      <c r="F97" s="1">
        <f t="shared" si="5"/>
        <v>6</v>
      </c>
      <c r="G97" s="1">
        <f t="shared" si="6"/>
        <v>50000</v>
      </c>
      <c r="H97" s="1">
        <f t="shared" si="7"/>
        <v>300000</v>
      </c>
    </row>
    <row r="98" spans="1:8" x14ac:dyDescent="0.35">
      <c r="A98" s="1">
        <v>1020</v>
      </c>
      <c r="B98" s="1" t="s">
        <v>101</v>
      </c>
      <c r="C98" t="s">
        <v>7</v>
      </c>
      <c r="D98" t="s">
        <v>11</v>
      </c>
      <c r="E98" t="str">
        <f t="shared" si="4"/>
        <v>Accessories</v>
      </c>
      <c r="F98" s="1">
        <f t="shared" si="5"/>
        <v>8</v>
      </c>
      <c r="G98" s="1">
        <f t="shared" si="6"/>
        <v>1500</v>
      </c>
      <c r="H98" s="1">
        <f t="shared" si="7"/>
        <v>12000</v>
      </c>
    </row>
    <row r="99" spans="1:8" x14ac:dyDescent="0.35">
      <c r="A99" s="1">
        <v>1020</v>
      </c>
      <c r="B99" s="1" t="s">
        <v>102</v>
      </c>
      <c r="C99" t="s">
        <v>10</v>
      </c>
      <c r="D99" t="s">
        <v>14</v>
      </c>
      <c r="E99" t="str">
        <f t="shared" si="4"/>
        <v>Accessories</v>
      </c>
      <c r="F99" s="1">
        <f t="shared" si="5"/>
        <v>2</v>
      </c>
      <c r="G99" s="1">
        <f t="shared" si="6"/>
        <v>3000</v>
      </c>
      <c r="H99" s="1">
        <f t="shared" si="7"/>
        <v>6000</v>
      </c>
    </row>
    <row r="100" spans="1:8" x14ac:dyDescent="0.35">
      <c r="A100" s="1">
        <v>1020</v>
      </c>
      <c r="B100" s="1" t="s">
        <v>103</v>
      </c>
      <c r="C100" t="s">
        <v>13</v>
      </c>
      <c r="D100" t="s">
        <v>15</v>
      </c>
      <c r="E100" t="str">
        <f t="shared" si="4"/>
        <v>Electronics</v>
      </c>
      <c r="F100" s="1">
        <f t="shared" si="5"/>
        <v>5</v>
      </c>
      <c r="G100" s="1">
        <f t="shared" si="6"/>
        <v>25000</v>
      </c>
      <c r="H100" s="1">
        <f t="shared" si="7"/>
        <v>125000</v>
      </c>
    </row>
    <row r="101" spans="1:8" x14ac:dyDescent="0.35">
      <c r="D101" t="s">
        <v>16</v>
      </c>
      <c r="F101" s="1">
        <f>CHOOSE(MOD(ROW()-2,10)+1,2,5,3,4,1,6,8,2,5,3)</f>
        <v>3</v>
      </c>
      <c r="G101" s="1">
        <f>IF(D101="Laptop",50000,IF(D101="Mouse",1500,IF(D101="Keyboard",3000,IF(D101="Monitor",25000,35000))))</f>
        <v>35000</v>
      </c>
      <c r="H101" s="1">
        <f>F101*G101</f>
        <v>105000</v>
      </c>
    </row>
    <row r="102" spans="1:8" x14ac:dyDescent="0.35">
      <c r="G10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Shahid</dc:creator>
  <cp:lastModifiedBy>Ayesha Shahid</cp:lastModifiedBy>
  <dcterms:created xsi:type="dcterms:W3CDTF">2026-06-19T17:40:36Z</dcterms:created>
  <dcterms:modified xsi:type="dcterms:W3CDTF">2026-06-19T19:32:28Z</dcterms:modified>
</cp:coreProperties>
</file>